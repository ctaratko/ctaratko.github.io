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codeName="ThisWorkbook" defaultThemeVersion="124226"/>
  <mc:AlternateContent xmlns:mc="http://schemas.openxmlformats.org/markup-compatibility/2006">
    <mc:Choice Requires="x15">
      <x15ac:absPath xmlns:x15ac="http://schemas.microsoft.com/office/spreadsheetml/2010/11/ac" url="/Users/christophertaratko/ProjectsList/Data Analytics/NotesDANL100/CapstoneDatasets/CPI_Cities/"/>
    </mc:Choice>
  </mc:AlternateContent>
  <xr:revisionPtr revIDLastSave="0" documentId="13_ncr:1_{E09942BB-9B82-2449-B4C1-A2A32F1239CF}" xr6:coauthVersionLast="47" xr6:coauthVersionMax="47" xr10:uidLastSave="{00000000-0000-0000-0000-000000000000}"/>
  <bookViews>
    <workbookView xWindow="12320" yWindow="500" windowWidth="16480" windowHeight="15720" activeTab="2" xr2:uid="{00000000-000D-0000-FFFF-FFFF00000000}"/>
  </bookViews>
  <sheets>
    <sheet name="SUB-IP-EST2024-ANNRNK" sheetId="1" r:id="rId1"/>
    <sheet name="CPI_Data" sheetId="2" r:id="rId2"/>
    <sheet name="myStates" sheetId="3" r:id="rId3"/>
  </sheets>
  <definedNames>
    <definedName name="_xlnm.Print_Area" localSheetId="0">'SUB-IP-EST2024-ANNRNK'!$A$2:$H$1945</definedName>
    <definedName name="_xlnm.Print_Titles" localSheetId="0">'SUB-IP-EST2024-ANNRNK'!$A:$A,'SUB-IP-EST2024-ANNRNK'!$2:$4</definedName>
    <definedName name="sub_annrnk">'SUB-IP-EST2024-ANNRNK'!$A$4:$H$1939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3" l="1"/>
  <c r="C11" i="3"/>
  <c r="C10" i="3"/>
  <c r="C9" i="3"/>
  <c r="D9" i="3" s="1"/>
  <c r="C8" i="3"/>
  <c r="D8" i="3" s="1"/>
  <c r="C7" i="3"/>
  <c r="C6" i="3"/>
  <c r="D6" i="3" s="1"/>
  <c r="C5" i="3"/>
  <c r="C4" i="3"/>
  <c r="D4" i="3" s="1"/>
  <c r="D5" i="3"/>
  <c r="D7" i="3"/>
  <c r="D10" i="3"/>
  <c r="D11" i="3"/>
  <c r="D12" i="3"/>
  <c r="C3" i="3"/>
  <c r="D3" i="3" s="1"/>
  <c r="C2" i="3"/>
  <c r="D2" i="3" s="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5" i="1"/>
  <c r="I5" i="1"/>
  <c r="K5" i="1" s="1"/>
  <c r="C1" i="2" a="1"/>
  <c r="C1" i="2" s="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K1482" i="1" s="1"/>
  <c r="I1483" i="1"/>
  <c r="I1484" i="1"/>
  <c r="I1485" i="1"/>
  <c r="I1486" i="1"/>
  <c r="I1487" i="1"/>
  <c r="I1488" i="1"/>
  <c r="I1489" i="1"/>
  <c r="I1490" i="1"/>
  <c r="K1490" i="1" s="1"/>
  <c r="I1491" i="1"/>
  <c r="I1492" i="1"/>
  <c r="I1493" i="1"/>
  <c r="I1494" i="1"/>
  <c r="I1495" i="1"/>
  <c r="I1496" i="1"/>
  <c r="I1497" i="1"/>
  <c r="I1498" i="1"/>
  <c r="K1498" i="1" s="1"/>
  <c r="I1499" i="1"/>
  <c r="I1500" i="1"/>
  <c r="I1501" i="1"/>
  <c r="I1502" i="1"/>
  <c r="I1503" i="1"/>
  <c r="I1504" i="1"/>
  <c r="I1505" i="1"/>
  <c r="I1506" i="1"/>
  <c r="K1506" i="1" s="1"/>
  <c r="I1507" i="1"/>
  <c r="I1508" i="1"/>
  <c r="I1509" i="1"/>
  <c r="I1510" i="1"/>
  <c r="I1511" i="1"/>
  <c r="I1512" i="1"/>
  <c r="I1513" i="1"/>
  <c r="I1514" i="1"/>
  <c r="K1514" i="1" s="1"/>
  <c r="I1515" i="1"/>
  <c r="I1516" i="1"/>
  <c r="I1517" i="1"/>
  <c r="I1518" i="1"/>
  <c r="I1519" i="1"/>
  <c r="I1520" i="1"/>
  <c r="I1521" i="1"/>
  <c r="I1522" i="1"/>
  <c r="K1522" i="1" s="1"/>
  <c r="I1523" i="1"/>
  <c r="I1524" i="1"/>
  <c r="I1525" i="1"/>
  <c r="I1526" i="1"/>
  <c r="I1527" i="1"/>
  <c r="I1528" i="1"/>
  <c r="I1529" i="1"/>
  <c r="I1530" i="1"/>
  <c r="K1530" i="1" s="1"/>
  <c r="I1531" i="1"/>
  <c r="I1532" i="1"/>
  <c r="I1533" i="1"/>
  <c r="I1534" i="1"/>
  <c r="I1535" i="1"/>
  <c r="I1536" i="1"/>
  <c r="I1537" i="1"/>
  <c r="I1538" i="1"/>
  <c r="K1538" i="1" s="1"/>
  <c r="I1539" i="1"/>
  <c r="I1540" i="1"/>
  <c r="I1541" i="1"/>
  <c r="I1542" i="1"/>
  <c r="I1543" i="1"/>
  <c r="I1544" i="1"/>
  <c r="I1545" i="1"/>
  <c r="I1546" i="1"/>
  <c r="K1546" i="1" s="1"/>
  <c r="I1547" i="1"/>
  <c r="I1548" i="1"/>
  <c r="I1549" i="1"/>
  <c r="I1550" i="1"/>
  <c r="I1551" i="1"/>
  <c r="I1552" i="1"/>
  <c r="I1553" i="1"/>
  <c r="I1554" i="1"/>
  <c r="K1554" i="1" s="1"/>
  <c r="I1555" i="1"/>
  <c r="I1556" i="1"/>
  <c r="I1557" i="1"/>
  <c r="I1558" i="1"/>
  <c r="I1559" i="1"/>
  <c r="I1560" i="1"/>
  <c r="I1561" i="1"/>
  <c r="I1562" i="1"/>
  <c r="K1562" i="1" s="1"/>
  <c r="I1563" i="1"/>
  <c r="I1564" i="1"/>
  <c r="I1565" i="1"/>
  <c r="I1566" i="1"/>
  <c r="I1567" i="1"/>
  <c r="I1568" i="1"/>
  <c r="I1569" i="1"/>
  <c r="I1570" i="1"/>
  <c r="K1570" i="1" s="1"/>
  <c r="I1571" i="1"/>
  <c r="I1572" i="1"/>
  <c r="I1573" i="1"/>
  <c r="I1574" i="1"/>
  <c r="I1575" i="1"/>
  <c r="I1576" i="1"/>
  <c r="I1577" i="1"/>
  <c r="I1578" i="1"/>
  <c r="K1578" i="1" s="1"/>
  <c r="I1579" i="1"/>
  <c r="I1580" i="1"/>
  <c r="I1581" i="1"/>
  <c r="I1582" i="1"/>
  <c r="I1583" i="1"/>
  <c r="I1584" i="1"/>
  <c r="I1585" i="1"/>
  <c r="I1586" i="1"/>
  <c r="K1586" i="1" s="1"/>
  <c r="I1587" i="1"/>
  <c r="I1588" i="1"/>
  <c r="I1589" i="1"/>
  <c r="I1590" i="1"/>
  <c r="I1591" i="1"/>
  <c r="I1592" i="1"/>
  <c r="I1593" i="1"/>
  <c r="I1594" i="1"/>
  <c r="K1594" i="1" s="1"/>
  <c r="I1595" i="1"/>
  <c r="I1596" i="1"/>
  <c r="I1597" i="1"/>
  <c r="I1598" i="1"/>
  <c r="I1599" i="1"/>
  <c r="I1600" i="1"/>
  <c r="I1601" i="1"/>
  <c r="I1602" i="1"/>
  <c r="K1602" i="1" s="1"/>
  <c r="I1603" i="1"/>
  <c r="I1604" i="1"/>
  <c r="I1605" i="1"/>
  <c r="I1606" i="1"/>
  <c r="I1607" i="1"/>
  <c r="I1608" i="1"/>
  <c r="I1609" i="1"/>
  <c r="I1610" i="1"/>
  <c r="K1610" i="1" s="1"/>
  <c r="I1611" i="1"/>
  <c r="I1612" i="1"/>
  <c r="I1613" i="1"/>
  <c r="I1614" i="1"/>
  <c r="I1615" i="1"/>
  <c r="I1616" i="1"/>
  <c r="I1617" i="1"/>
  <c r="I1618" i="1"/>
  <c r="K1618" i="1" s="1"/>
  <c r="I1619" i="1"/>
  <c r="I1620" i="1"/>
  <c r="I1621" i="1"/>
  <c r="I1622" i="1"/>
  <c r="I1623" i="1"/>
  <c r="I1624" i="1"/>
  <c r="I1625" i="1"/>
  <c r="I1626" i="1"/>
  <c r="K1626" i="1" s="1"/>
  <c r="I1627" i="1"/>
  <c r="I1628" i="1"/>
  <c r="I1629" i="1"/>
  <c r="I1630" i="1"/>
  <c r="I1631" i="1"/>
  <c r="I1632" i="1"/>
  <c r="I1633" i="1"/>
  <c r="I1634" i="1"/>
  <c r="K1634" i="1" s="1"/>
  <c r="I1635" i="1"/>
  <c r="I1636" i="1"/>
  <c r="I1637" i="1"/>
  <c r="I1638" i="1"/>
  <c r="I1639" i="1"/>
  <c r="I1640" i="1"/>
  <c r="K1640" i="1" s="1"/>
  <c r="I1641" i="1"/>
  <c r="I1642" i="1"/>
  <c r="K1642" i="1" s="1"/>
  <c r="I1643" i="1"/>
  <c r="I1644" i="1"/>
  <c r="I1645" i="1"/>
  <c r="I1646" i="1"/>
  <c r="I1647" i="1"/>
  <c r="I1648" i="1"/>
  <c r="I1649" i="1"/>
  <c r="I1650" i="1"/>
  <c r="K1650" i="1" s="1"/>
  <c r="I1651" i="1"/>
  <c r="I1652" i="1"/>
  <c r="I1653" i="1"/>
  <c r="I1654" i="1"/>
  <c r="I1655" i="1"/>
  <c r="I1656" i="1"/>
  <c r="I1657" i="1"/>
  <c r="I1658" i="1"/>
  <c r="K1658" i="1" s="1"/>
  <c r="I1659" i="1"/>
  <c r="I1660" i="1"/>
  <c r="I1661" i="1"/>
  <c r="I1662" i="1"/>
  <c r="I1663" i="1"/>
  <c r="I1664" i="1"/>
  <c r="I1665" i="1"/>
  <c r="I1666" i="1"/>
  <c r="K1666" i="1" s="1"/>
  <c r="I1667" i="1"/>
  <c r="I1668" i="1"/>
  <c r="I1669" i="1"/>
  <c r="I1670" i="1"/>
  <c r="I1671" i="1"/>
  <c r="I1672" i="1"/>
  <c r="I1673" i="1"/>
  <c r="I1674" i="1"/>
  <c r="K1674" i="1" s="1"/>
  <c r="I1675" i="1"/>
  <c r="I1676" i="1"/>
  <c r="I1677" i="1"/>
  <c r="I1678" i="1"/>
  <c r="I1679" i="1"/>
  <c r="I1680" i="1"/>
  <c r="I1681" i="1"/>
  <c r="I1682" i="1"/>
  <c r="K1682" i="1" s="1"/>
  <c r="I1683" i="1"/>
  <c r="I1684" i="1"/>
  <c r="I1685" i="1"/>
  <c r="I1686" i="1"/>
  <c r="I1687" i="1"/>
  <c r="I1688" i="1"/>
  <c r="I1689" i="1"/>
  <c r="I1690" i="1"/>
  <c r="K1690" i="1" s="1"/>
  <c r="I1691" i="1"/>
  <c r="I1692" i="1"/>
  <c r="I1693" i="1"/>
  <c r="I1694" i="1"/>
  <c r="I1695" i="1"/>
  <c r="I1696" i="1"/>
  <c r="I1697" i="1"/>
  <c r="I1698" i="1"/>
  <c r="K1698" i="1" s="1"/>
  <c r="I1699" i="1"/>
  <c r="I1700" i="1"/>
  <c r="I1701" i="1"/>
  <c r="I1702" i="1"/>
  <c r="I1703" i="1"/>
  <c r="I1704" i="1"/>
  <c r="I1705" i="1"/>
  <c r="I1706" i="1"/>
  <c r="K1706" i="1" s="1"/>
  <c r="I1707" i="1"/>
  <c r="I1708" i="1"/>
  <c r="I1709" i="1"/>
  <c r="I1710" i="1"/>
  <c r="I1711" i="1"/>
  <c r="I1712" i="1"/>
  <c r="I1713" i="1"/>
  <c r="I1714" i="1"/>
  <c r="K1714" i="1" s="1"/>
  <c r="I1715" i="1"/>
  <c r="I1716" i="1"/>
  <c r="I1717" i="1"/>
  <c r="I1718" i="1"/>
  <c r="I1719" i="1"/>
  <c r="I1720" i="1"/>
  <c r="I1721" i="1"/>
  <c r="I1722" i="1"/>
  <c r="K1722" i="1" s="1"/>
  <c r="I1723" i="1"/>
  <c r="I1724" i="1"/>
  <c r="I1725" i="1"/>
  <c r="I1726" i="1"/>
  <c r="I1727" i="1"/>
  <c r="I1728" i="1"/>
  <c r="I1729" i="1"/>
  <c r="I1730" i="1"/>
  <c r="K1730" i="1" s="1"/>
  <c r="I1731" i="1"/>
  <c r="I1732" i="1"/>
  <c r="I1733" i="1"/>
  <c r="I1734" i="1"/>
  <c r="I1735" i="1"/>
  <c r="I1736" i="1"/>
  <c r="I1737" i="1"/>
  <c r="I1738" i="1"/>
  <c r="K1738" i="1" s="1"/>
  <c r="I1739" i="1"/>
  <c r="I1740" i="1"/>
  <c r="I1741" i="1"/>
  <c r="I1742" i="1"/>
  <c r="I1743" i="1"/>
  <c r="I1744" i="1"/>
  <c r="I1745" i="1"/>
  <c r="I1746" i="1"/>
  <c r="K1746" i="1" s="1"/>
  <c r="I1747" i="1"/>
  <c r="I1748" i="1"/>
  <c r="I1749" i="1"/>
  <c r="I1750" i="1"/>
  <c r="I1751" i="1"/>
  <c r="I1752" i="1"/>
  <c r="I1753" i="1"/>
  <c r="I1754" i="1"/>
  <c r="K1754" i="1" s="1"/>
  <c r="I1755" i="1"/>
  <c r="I1756" i="1"/>
  <c r="I1757" i="1"/>
  <c r="I1758" i="1"/>
  <c r="I1759" i="1"/>
  <c r="I1760" i="1"/>
  <c r="I1761" i="1"/>
  <c r="I1762" i="1"/>
  <c r="K1762" i="1" s="1"/>
  <c r="I1763" i="1"/>
  <c r="I1764" i="1"/>
  <c r="I1765" i="1"/>
  <c r="I1766" i="1"/>
  <c r="I1767" i="1"/>
  <c r="I1768" i="1"/>
  <c r="I1769" i="1"/>
  <c r="I1770" i="1"/>
  <c r="K1770" i="1" s="1"/>
  <c r="I1771" i="1"/>
  <c r="I1772" i="1"/>
  <c r="I1773" i="1"/>
  <c r="I1774" i="1"/>
  <c r="I1775" i="1"/>
  <c r="I1776" i="1"/>
  <c r="I1777" i="1"/>
  <c r="I1778" i="1"/>
  <c r="K1778" i="1" s="1"/>
  <c r="I1779" i="1"/>
  <c r="I1780" i="1"/>
  <c r="I1781" i="1"/>
  <c r="I1782" i="1"/>
  <c r="I1783" i="1"/>
  <c r="I1784" i="1"/>
  <c r="I1785" i="1"/>
  <c r="I1786" i="1"/>
  <c r="K1786" i="1" s="1"/>
  <c r="I1787" i="1"/>
  <c r="I1788" i="1"/>
  <c r="I1789" i="1"/>
  <c r="I1790" i="1"/>
  <c r="I1791" i="1"/>
  <c r="I1792" i="1"/>
  <c r="I1793" i="1"/>
  <c r="I1794" i="1"/>
  <c r="K1794" i="1" s="1"/>
  <c r="I1795" i="1"/>
  <c r="I1796" i="1"/>
  <c r="I1797" i="1"/>
  <c r="I1798" i="1"/>
  <c r="I1799" i="1"/>
  <c r="I1800" i="1"/>
  <c r="I1801" i="1"/>
  <c r="I1802" i="1"/>
  <c r="K1802" i="1" s="1"/>
  <c r="I1803" i="1"/>
  <c r="I1804" i="1"/>
  <c r="I1805" i="1"/>
  <c r="I1806" i="1"/>
  <c r="I1807" i="1"/>
  <c r="I1808" i="1"/>
  <c r="I1809" i="1"/>
  <c r="I1810" i="1"/>
  <c r="K1810" i="1" s="1"/>
  <c r="I1811" i="1"/>
  <c r="I1812" i="1"/>
  <c r="I1813" i="1"/>
  <c r="I1814" i="1"/>
  <c r="I1815" i="1"/>
  <c r="I1816" i="1"/>
  <c r="I1817" i="1"/>
  <c r="I1818" i="1"/>
  <c r="K1818" i="1" s="1"/>
  <c r="I1819" i="1"/>
  <c r="I1820" i="1"/>
  <c r="I1821" i="1"/>
  <c r="I1822" i="1"/>
  <c r="I1823" i="1"/>
  <c r="I1824" i="1"/>
  <c r="I1825" i="1"/>
  <c r="I1826" i="1"/>
  <c r="K1826" i="1" s="1"/>
  <c r="I1827" i="1"/>
  <c r="I1828" i="1"/>
  <c r="I1829" i="1"/>
  <c r="I1830" i="1"/>
  <c r="I1831" i="1"/>
  <c r="I1832" i="1"/>
  <c r="I1833" i="1"/>
  <c r="I1834" i="1"/>
  <c r="K1834" i="1" s="1"/>
  <c r="I1835" i="1"/>
  <c r="I1836" i="1"/>
  <c r="I1837" i="1"/>
  <c r="I1838" i="1"/>
  <c r="I1839" i="1"/>
  <c r="I1840" i="1"/>
  <c r="I1841" i="1"/>
  <c r="I1842" i="1"/>
  <c r="K1842" i="1" s="1"/>
  <c r="I1843" i="1"/>
  <c r="I1844" i="1"/>
  <c r="I1845" i="1"/>
  <c r="I1846" i="1"/>
  <c r="I1847" i="1"/>
  <c r="I1848" i="1"/>
  <c r="I1849" i="1"/>
  <c r="I1850" i="1"/>
  <c r="K1850" i="1" s="1"/>
  <c r="I1851" i="1"/>
  <c r="I1852" i="1"/>
  <c r="I1853" i="1"/>
  <c r="I1854" i="1"/>
  <c r="I1855" i="1"/>
  <c r="I1856" i="1"/>
  <c r="I1857" i="1"/>
  <c r="I1858" i="1"/>
  <c r="K1858" i="1" s="1"/>
  <c r="I1859" i="1"/>
  <c r="I1860" i="1"/>
  <c r="I1861" i="1"/>
  <c r="I1862" i="1"/>
  <c r="I1863" i="1"/>
  <c r="I1864" i="1"/>
  <c r="I1865" i="1"/>
  <c r="I1866" i="1"/>
  <c r="K1866" i="1" s="1"/>
  <c r="I1867" i="1"/>
  <c r="I1868" i="1"/>
  <c r="I1869" i="1"/>
  <c r="I1870" i="1"/>
  <c r="I1871" i="1"/>
  <c r="I1872" i="1"/>
  <c r="I1873" i="1"/>
  <c r="I1874" i="1"/>
  <c r="K1874" i="1" s="1"/>
  <c r="I1875" i="1"/>
  <c r="I1876" i="1"/>
  <c r="I1877" i="1"/>
  <c r="I1878" i="1"/>
  <c r="I1879" i="1"/>
  <c r="I1880" i="1"/>
  <c r="I1881" i="1"/>
  <c r="I1882" i="1"/>
  <c r="K1882" i="1" s="1"/>
  <c r="I1883" i="1"/>
  <c r="I1884" i="1"/>
  <c r="I1885" i="1"/>
  <c r="I1886" i="1"/>
  <c r="I1887" i="1"/>
  <c r="I1888" i="1"/>
  <c r="I1889" i="1"/>
  <c r="I1890" i="1"/>
  <c r="K1890" i="1" s="1"/>
  <c r="I1891" i="1"/>
  <c r="I1892" i="1"/>
  <c r="I1893" i="1"/>
  <c r="I1894" i="1"/>
  <c r="I1895" i="1"/>
  <c r="I1896" i="1"/>
  <c r="I1897" i="1"/>
  <c r="I1898" i="1"/>
  <c r="K1898" i="1" s="1"/>
  <c r="I1899" i="1"/>
  <c r="I1900" i="1"/>
  <c r="I1901" i="1"/>
  <c r="I1902" i="1"/>
  <c r="I1903" i="1"/>
  <c r="I1904" i="1"/>
  <c r="I1905" i="1"/>
  <c r="I1906" i="1"/>
  <c r="K1906" i="1" s="1"/>
  <c r="I1907" i="1"/>
  <c r="I1908" i="1"/>
  <c r="I1909" i="1"/>
  <c r="I1910" i="1"/>
  <c r="I1911" i="1"/>
  <c r="I1912" i="1"/>
  <c r="I1913" i="1"/>
  <c r="I1914" i="1"/>
  <c r="K1914" i="1" s="1"/>
  <c r="I1915" i="1"/>
  <c r="I1916" i="1"/>
  <c r="I1917" i="1"/>
  <c r="I1918" i="1"/>
  <c r="I1919" i="1"/>
  <c r="I1920" i="1"/>
  <c r="I1921" i="1"/>
  <c r="I1922" i="1"/>
  <c r="K1922" i="1" s="1"/>
  <c r="I1923" i="1"/>
  <c r="I1924" i="1"/>
  <c r="I1925" i="1"/>
  <c r="I1926" i="1"/>
  <c r="I1927" i="1"/>
  <c r="I1928" i="1"/>
  <c r="I1929" i="1"/>
  <c r="I1930" i="1"/>
  <c r="K1930" i="1" s="1"/>
  <c r="I1931" i="1"/>
  <c r="I1932" i="1"/>
  <c r="I1933" i="1"/>
  <c r="I1934" i="1"/>
  <c r="I1935" i="1"/>
  <c r="I1936" i="1"/>
  <c r="I1937" i="1"/>
  <c r="I1938" i="1"/>
  <c r="K1938" i="1" s="1"/>
  <c r="I1939" i="1"/>
  <c r="I1940" i="1"/>
  <c r="I1941" i="1"/>
  <c r="I1942" i="1"/>
  <c r="I1943" i="1"/>
  <c r="I1944" i="1"/>
  <c r="I1945" i="1"/>
  <c r="K1945" i="1" l="1"/>
  <c r="K1937" i="1"/>
  <c r="K1929" i="1"/>
  <c r="K1921" i="1"/>
  <c r="K1913" i="1"/>
  <c r="K1905" i="1"/>
  <c r="K1897" i="1"/>
  <c r="K1889" i="1"/>
  <c r="K1881" i="1"/>
  <c r="K1873" i="1"/>
  <c r="K1865" i="1"/>
  <c r="K1857" i="1"/>
  <c r="K1849" i="1"/>
  <c r="K1841" i="1"/>
  <c r="K1833" i="1"/>
  <c r="K1825" i="1"/>
  <c r="K1817" i="1"/>
  <c r="K1809" i="1"/>
  <c r="K1801" i="1"/>
  <c r="K1793" i="1"/>
  <c r="K1785" i="1"/>
  <c r="K1777" i="1"/>
  <c r="K1769" i="1"/>
  <c r="K1761" i="1"/>
  <c r="K1753" i="1"/>
  <c r="K1745" i="1"/>
  <c r="K1737" i="1"/>
  <c r="K1729" i="1"/>
  <c r="K1721" i="1"/>
  <c r="K1713" i="1"/>
  <c r="K1705" i="1"/>
  <c r="K1697" i="1"/>
  <c r="K1689" i="1"/>
  <c r="K1681" i="1"/>
  <c r="K1673" i="1"/>
  <c r="K1665" i="1"/>
  <c r="K1928" i="1"/>
  <c r="K1848" i="1"/>
  <c r="K1776" i="1"/>
  <c r="K1696" i="1"/>
  <c r="K1632" i="1"/>
  <c r="K1624" i="1"/>
  <c r="K1616" i="1"/>
  <c r="K1608" i="1"/>
  <c r="K1600" i="1"/>
  <c r="K1592" i="1"/>
  <c r="K1584" i="1"/>
  <c r="K1576" i="1"/>
  <c r="K1568" i="1"/>
  <c r="K1560" i="1"/>
  <c r="K1936" i="1"/>
  <c r="K1896" i="1"/>
  <c r="K1864" i="1"/>
  <c r="K1824" i="1"/>
  <c r="K1792" i="1"/>
  <c r="K1760" i="1"/>
  <c r="K1720" i="1"/>
  <c r="K1680" i="1"/>
  <c r="K1656" i="1"/>
  <c r="K1919" i="1"/>
  <c r="K1895" i="1"/>
  <c r="K1887" i="1"/>
  <c r="K1879" i="1"/>
  <c r="K1871" i="1"/>
  <c r="K1863" i="1"/>
  <c r="K1855" i="1"/>
  <c r="K1847" i="1"/>
  <c r="K1839" i="1"/>
  <c r="K1831" i="1"/>
  <c r="K1823" i="1"/>
  <c r="K1815" i="1"/>
  <c r="K1807" i="1"/>
  <c r="K1799" i="1"/>
  <c r="K1791" i="1"/>
  <c r="K1783" i="1"/>
  <c r="K1775" i="1"/>
  <c r="K1767" i="1"/>
  <c r="K1759" i="1"/>
  <c r="K1751" i="1"/>
  <c r="K1743" i="1"/>
  <c r="K1735" i="1"/>
  <c r="K1727" i="1"/>
  <c r="K1719" i="1"/>
  <c r="K1711" i="1"/>
  <c r="K1703" i="1"/>
  <c r="K1920" i="1"/>
  <c r="K1888" i="1"/>
  <c r="K1856" i="1"/>
  <c r="K1816" i="1"/>
  <c r="K1784" i="1"/>
  <c r="K1752" i="1"/>
  <c r="K1728" i="1"/>
  <c r="K1688" i="1"/>
  <c r="K1648" i="1"/>
  <c r="K1943" i="1"/>
  <c r="K1911" i="1"/>
  <c r="K1942" i="1"/>
  <c r="K1918" i="1"/>
  <c r="K1894" i="1"/>
  <c r="K1870" i="1"/>
  <c r="K1854" i="1"/>
  <c r="K1830" i="1"/>
  <c r="K1806" i="1"/>
  <c r="K1790" i="1"/>
  <c r="K1766" i="1"/>
  <c r="K1750" i="1"/>
  <c r="K1734" i="1"/>
  <c r="K1710" i="1"/>
  <c r="K1694" i="1"/>
  <c r="K1678" i="1"/>
  <c r="K1654" i="1"/>
  <c r="K1638" i="1"/>
  <c r="K1630" i="1"/>
  <c r="K1622" i="1"/>
  <c r="K1614" i="1"/>
  <c r="K1606" i="1"/>
  <c r="K1598" i="1"/>
  <c r="K1590" i="1"/>
  <c r="K1582" i="1"/>
  <c r="K1574" i="1"/>
  <c r="K1566" i="1"/>
  <c r="K1912" i="1"/>
  <c r="K1840" i="1"/>
  <c r="K1744" i="1"/>
  <c r="K1672" i="1"/>
  <c r="K1934" i="1"/>
  <c r="K1886" i="1"/>
  <c r="K1838" i="1"/>
  <c r="K1909" i="1"/>
  <c r="K1877" i="1"/>
  <c r="K1837" i="1"/>
  <c r="K1789" i="1"/>
  <c r="K1701" i="1"/>
  <c r="K1944" i="1"/>
  <c r="K1904" i="1"/>
  <c r="K1872" i="1"/>
  <c r="K1832" i="1"/>
  <c r="K1800" i="1"/>
  <c r="K1768" i="1"/>
  <c r="K1736" i="1"/>
  <c r="K1704" i="1"/>
  <c r="K1664" i="1"/>
  <c r="K1927" i="1"/>
  <c r="K1903" i="1"/>
  <c r="K1926" i="1"/>
  <c r="K1902" i="1"/>
  <c r="K1878" i="1"/>
  <c r="K1846" i="1"/>
  <c r="K1822" i="1"/>
  <c r="K1798" i="1"/>
  <c r="K1782" i="1"/>
  <c r="K1758" i="1"/>
  <c r="K1742" i="1"/>
  <c r="K1726" i="1"/>
  <c r="K1702" i="1"/>
  <c r="K1686" i="1"/>
  <c r="K1670" i="1"/>
  <c r="K1646" i="1"/>
  <c r="K1941" i="1"/>
  <c r="K1933" i="1"/>
  <c r="K1925" i="1"/>
  <c r="K1901" i="1"/>
  <c r="K1893" i="1"/>
  <c r="K1885" i="1"/>
  <c r="K1869" i="1"/>
  <c r="K1861" i="1"/>
  <c r="K1845" i="1"/>
  <c r="K1821" i="1"/>
  <c r="K1805" i="1"/>
  <c r="K1781" i="1"/>
  <c r="K1757" i="1"/>
  <c r="K1741" i="1"/>
  <c r="K1725" i="1"/>
  <c r="K1709" i="1"/>
  <c r="K1940" i="1"/>
  <c r="K1932" i="1"/>
  <c r="K1924" i="1"/>
  <c r="K1916" i="1"/>
  <c r="K1908" i="1"/>
  <c r="K1900" i="1"/>
  <c r="K1892" i="1"/>
  <c r="K1884" i="1"/>
  <c r="K1876" i="1"/>
  <c r="K1868" i="1"/>
  <c r="K1860" i="1"/>
  <c r="K1852" i="1"/>
  <c r="K1880" i="1"/>
  <c r="K1808" i="1"/>
  <c r="K1712" i="1"/>
  <c r="K1935" i="1"/>
  <c r="K1910" i="1"/>
  <c r="K1862" i="1"/>
  <c r="K1814" i="1"/>
  <c r="K1774" i="1"/>
  <c r="K1718" i="1"/>
  <c r="K1662" i="1"/>
  <c r="K1917" i="1"/>
  <c r="K1853" i="1"/>
  <c r="K1829" i="1"/>
  <c r="K1813" i="1"/>
  <c r="K1797" i="1"/>
  <c r="K1773" i="1"/>
  <c r="K1765" i="1"/>
  <c r="K1749" i="1"/>
  <c r="K1733" i="1"/>
  <c r="K1717" i="1"/>
  <c r="A2" i="2" a="1"/>
  <c r="K1939" i="1"/>
  <c r="K1931" i="1"/>
  <c r="K1923" i="1"/>
  <c r="K1915" i="1"/>
  <c r="K1907" i="1"/>
  <c r="K1899" i="1"/>
  <c r="K1891" i="1"/>
  <c r="K1883" i="1"/>
  <c r="K1875" i="1"/>
  <c r="K1867" i="1"/>
  <c r="K1859" i="1"/>
  <c r="K1851" i="1"/>
  <c r="K1843" i="1"/>
  <c r="K1835" i="1"/>
  <c r="K1474" i="1"/>
  <c r="K1466" i="1"/>
  <c r="K1458" i="1"/>
  <c r="K1450" i="1"/>
  <c r="K1442" i="1"/>
  <c r="K1434" i="1"/>
  <c r="K1426" i="1"/>
  <c r="K1418" i="1"/>
  <c r="K1410" i="1"/>
  <c r="K1402" i="1"/>
  <c r="K1394" i="1"/>
  <c r="K1386" i="1"/>
  <c r="K1378" i="1"/>
  <c r="K1657" i="1"/>
  <c r="K1649" i="1"/>
  <c r="K1641" i="1"/>
  <c r="K1633" i="1"/>
  <c r="K1625" i="1"/>
  <c r="K1617" i="1"/>
  <c r="K1609" i="1"/>
  <c r="K1601" i="1"/>
  <c r="K1593" i="1"/>
  <c r="K1585" i="1"/>
  <c r="K1577" i="1"/>
  <c r="K1569" i="1"/>
  <c r="K1561" i="1"/>
  <c r="K1553" i="1"/>
  <c r="K1545" i="1"/>
  <c r="K1537" i="1"/>
  <c r="K1529" i="1"/>
  <c r="K1521" i="1"/>
  <c r="K1513" i="1"/>
  <c r="K1505" i="1"/>
  <c r="K1497" i="1"/>
  <c r="K1489" i="1"/>
  <c r="K1481" i="1"/>
  <c r="K1473" i="1"/>
  <c r="K1465" i="1"/>
  <c r="K1457" i="1"/>
  <c r="K1449" i="1"/>
  <c r="K1441" i="1"/>
  <c r="K1433" i="1"/>
  <c r="K1425" i="1"/>
  <c r="K1417" i="1"/>
  <c r="K1409" i="1"/>
  <c r="K1401" i="1"/>
  <c r="K1393" i="1"/>
  <c r="K1385" i="1"/>
  <c r="K1377" i="1"/>
  <c r="K1369" i="1"/>
  <c r="K1361" i="1"/>
  <c r="K1353" i="1"/>
  <c r="K1345" i="1"/>
  <c r="K1337" i="1"/>
  <c r="K1329" i="1"/>
  <c r="K1321" i="1"/>
  <c r="K1313" i="1"/>
  <c r="K1305" i="1"/>
  <c r="K1297" i="1"/>
  <c r="K1289" i="1"/>
  <c r="K1281" i="1"/>
  <c r="K1273" i="1"/>
  <c r="K1265" i="1"/>
  <c r="K1257" i="1"/>
  <c r="K1249" i="1"/>
  <c r="K1241" i="1"/>
  <c r="K1233" i="1"/>
  <c r="K1225" i="1"/>
  <c r="K1217" i="1"/>
  <c r="K1209" i="1"/>
  <c r="K1201" i="1"/>
  <c r="K1193" i="1"/>
  <c r="K1185" i="1"/>
  <c r="K1177" i="1"/>
  <c r="K1169" i="1"/>
  <c r="K1161" i="1"/>
  <c r="K1153" i="1"/>
  <c r="K1145" i="1"/>
  <c r="K1137" i="1"/>
  <c r="K1129" i="1"/>
  <c r="K1121" i="1"/>
  <c r="K1113" i="1"/>
  <c r="K1105" i="1"/>
  <c r="K1097" i="1"/>
  <c r="K1089" i="1"/>
  <c r="K1081" i="1"/>
  <c r="K1073" i="1"/>
  <c r="K1065" i="1"/>
  <c r="K1057" i="1"/>
  <c r="K1049" i="1"/>
  <c r="K1041" i="1"/>
  <c r="K1033" i="1"/>
  <c r="K1025" i="1"/>
  <c r="K1017" i="1"/>
  <c r="K1009" i="1"/>
  <c r="K1001" i="1"/>
  <c r="K993" i="1"/>
  <c r="K985" i="1"/>
  <c r="K977" i="1"/>
  <c r="K969" i="1"/>
  <c r="K961" i="1"/>
  <c r="K953" i="1"/>
  <c r="K945" i="1"/>
  <c r="K937" i="1"/>
  <c r="K929" i="1"/>
  <c r="K921" i="1"/>
  <c r="K913" i="1"/>
  <c r="K905" i="1"/>
  <c r="K897" i="1"/>
  <c r="K889" i="1"/>
  <c r="K881" i="1"/>
  <c r="K1552" i="1"/>
  <c r="K1544" i="1"/>
  <c r="K1536" i="1"/>
  <c r="K1528" i="1"/>
  <c r="K1520" i="1"/>
  <c r="K1512" i="1"/>
  <c r="K1504" i="1"/>
  <c r="K1496" i="1"/>
  <c r="K1488" i="1"/>
  <c r="K1480" i="1"/>
  <c r="K1472" i="1"/>
  <c r="K1464" i="1"/>
  <c r="K1456" i="1"/>
  <c r="K1448" i="1"/>
  <c r="K1440" i="1"/>
  <c r="K1432" i="1"/>
  <c r="K1424" i="1"/>
  <c r="K1416" i="1"/>
  <c r="K1408" i="1"/>
  <c r="K1400" i="1"/>
  <c r="K1392" i="1"/>
  <c r="K1384" i="1"/>
  <c r="K1376" i="1"/>
  <c r="K1368" i="1"/>
  <c r="K1360" i="1"/>
  <c r="K1352" i="1"/>
  <c r="K1344" i="1"/>
  <c r="K1336" i="1"/>
  <c r="K1328" i="1"/>
  <c r="K1320" i="1"/>
  <c r="K1312" i="1"/>
  <c r="K1304" i="1"/>
  <c r="K1296" i="1"/>
  <c r="K1288" i="1"/>
  <c r="K1280" i="1"/>
  <c r="K1272" i="1"/>
  <c r="K1264" i="1"/>
  <c r="K1256" i="1"/>
  <c r="K1248" i="1"/>
  <c r="K1240" i="1"/>
  <c r="K1232" i="1"/>
  <c r="K1224" i="1"/>
  <c r="K1216" i="1"/>
  <c r="K1208" i="1"/>
  <c r="K1200" i="1"/>
  <c r="K1192" i="1"/>
  <c r="K1184" i="1"/>
  <c r="K1176" i="1"/>
  <c r="K1168" i="1"/>
  <c r="K1160" i="1"/>
  <c r="K1152" i="1"/>
  <c r="K1144" i="1"/>
  <c r="K1136" i="1"/>
  <c r="K1128" i="1"/>
  <c r="K1120" i="1"/>
  <c r="K1112" i="1"/>
  <c r="K1104" i="1"/>
  <c r="K1096" i="1"/>
  <c r="K1088" i="1"/>
  <c r="K1080" i="1"/>
  <c r="K1072" i="1"/>
  <c r="K1064" i="1"/>
  <c r="K1056" i="1"/>
  <c r="K1048" i="1"/>
  <c r="K1040" i="1"/>
  <c r="K1032" i="1"/>
  <c r="K1024" i="1"/>
  <c r="K1016" i="1"/>
  <c r="K1008" i="1"/>
  <c r="K1000" i="1"/>
  <c r="K992" i="1"/>
  <c r="K984" i="1"/>
  <c r="K976" i="1"/>
  <c r="K968" i="1"/>
  <c r="K960" i="1"/>
  <c r="K952" i="1"/>
  <c r="K944" i="1"/>
  <c r="K936" i="1"/>
  <c r="K928" i="1"/>
  <c r="K920" i="1"/>
  <c r="K912" i="1"/>
  <c r="K904" i="1"/>
  <c r="K896" i="1"/>
  <c r="K888" i="1"/>
  <c r="K880" i="1"/>
  <c r="K872" i="1"/>
  <c r="K864" i="1"/>
  <c r="K856" i="1"/>
  <c r="K848" i="1"/>
  <c r="K840" i="1"/>
  <c r="K832" i="1"/>
  <c r="K824" i="1"/>
  <c r="K816" i="1"/>
  <c r="K808" i="1"/>
  <c r="K800" i="1"/>
  <c r="K792" i="1"/>
  <c r="K784" i="1"/>
  <c r="K1695" i="1"/>
  <c r="K1687" i="1"/>
  <c r="K1679" i="1"/>
  <c r="K1671" i="1"/>
  <c r="K1663" i="1"/>
  <c r="K1655" i="1"/>
  <c r="K1647" i="1"/>
  <c r="K1639" i="1"/>
  <c r="K1631" i="1"/>
  <c r="K1623" i="1"/>
  <c r="K1615" i="1"/>
  <c r="K1607" i="1"/>
  <c r="K1599" i="1"/>
  <c r="K1591" i="1"/>
  <c r="K1583" i="1"/>
  <c r="K1575" i="1"/>
  <c r="K1567" i="1"/>
  <c r="K1559" i="1"/>
  <c r="K1551" i="1"/>
  <c r="K1543" i="1"/>
  <c r="K1535" i="1"/>
  <c r="K1527" i="1"/>
  <c r="K1519" i="1"/>
  <c r="K1511" i="1"/>
  <c r="K1503" i="1"/>
  <c r="K1495" i="1"/>
  <c r="K1487" i="1"/>
  <c r="K1479" i="1"/>
  <c r="K1471" i="1"/>
  <c r="K1463" i="1"/>
  <c r="K1455" i="1"/>
  <c r="K1447" i="1"/>
  <c r="K1439" i="1"/>
  <c r="K1431" i="1"/>
  <c r="K1423" i="1"/>
  <c r="K1415" i="1"/>
  <c r="K1407" i="1"/>
  <c r="K1399" i="1"/>
  <c r="K1391" i="1"/>
  <c r="K1383" i="1"/>
  <c r="K1375" i="1"/>
  <c r="K1367" i="1"/>
  <c r="K1359" i="1"/>
  <c r="K1351" i="1"/>
  <c r="K1343" i="1"/>
  <c r="K1335" i="1"/>
  <c r="K1327" i="1"/>
  <c r="K1319" i="1"/>
  <c r="K1311" i="1"/>
  <c r="K1303" i="1"/>
  <c r="K1295" i="1"/>
  <c r="K1287" i="1"/>
  <c r="K1279" i="1"/>
  <c r="K1271" i="1"/>
  <c r="K1263" i="1"/>
  <c r="K1255" i="1"/>
  <c r="K1247" i="1"/>
  <c r="K1239" i="1"/>
  <c r="K1231" i="1"/>
  <c r="K1223" i="1"/>
  <c r="K1215" i="1"/>
  <c r="K1207" i="1"/>
  <c r="K1199" i="1"/>
  <c r="K1191" i="1"/>
  <c r="K1183" i="1"/>
  <c r="K1175" i="1"/>
  <c r="K1167" i="1"/>
  <c r="K1159" i="1"/>
  <c r="K1151" i="1"/>
  <c r="K1143" i="1"/>
  <c r="K1135" i="1"/>
  <c r="K1127" i="1"/>
  <c r="K1119" i="1"/>
  <c r="K1111" i="1"/>
  <c r="K1103" i="1"/>
  <c r="K1095" i="1"/>
  <c r="K1087" i="1"/>
  <c r="K1079" i="1"/>
  <c r="K1071" i="1"/>
  <c r="K1063" i="1"/>
  <c r="K1055" i="1"/>
  <c r="K1047" i="1"/>
  <c r="K1039" i="1"/>
  <c r="K1031" i="1"/>
  <c r="K1023" i="1"/>
  <c r="K1558" i="1"/>
  <c r="K1550" i="1"/>
  <c r="K1542" i="1"/>
  <c r="K1534" i="1"/>
  <c r="K1526" i="1"/>
  <c r="K1518" i="1"/>
  <c r="K1510" i="1"/>
  <c r="K1502" i="1"/>
  <c r="K1494" i="1"/>
  <c r="K1486" i="1"/>
  <c r="K1478" i="1"/>
  <c r="K1470" i="1"/>
  <c r="K1462" i="1"/>
  <c r="K1454" i="1"/>
  <c r="K1446" i="1"/>
  <c r="K1438" i="1"/>
  <c r="K1430" i="1"/>
  <c r="K1422" i="1"/>
  <c r="K1414" i="1"/>
  <c r="K1406" i="1"/>
  <c r="K1398" i="1"/>
  <c r="K1390" i="1"/>
  <c r="K1382" i="1"/>
  <c r="K1374" i="1"/>
  <c r="K1366" i="1"/>
  <c r="K1358" i="1"/>
  <c r="K1350" i="1"/>
  <c r="K1342" i="1"/>
  <c r="K1334" i="1"/>
  <c r="K1326" i="1"/>
  <c r="K1318" i="1"/>
  <c r="K1310" i="1"/>
  <c r="K1302" i="1"/>
  <c r="K1294" i="1"/>
  <c r="K1286" i="1"/>
  <c r="K1278" i="1"/>
  <c r="K1270" i="1"/>
  <c r="K1262" i="1"/>
  <c r="K1254" i="1"/>
  <c r="K1246" i="1"/>
  <c r="K1238" i="1"/>
  <c r="K1230" i="1"/>
  <c r="K1222" i="1"/>
  <c r="K1214" i="1"/>
  <c r="K1206" i="1"/>
  <c r="K1198" i="1"/>
  <c r="K1190" i="1"/>
  <c r="K1182" i="1"/>
  <c r="K1174" i="1"/>
  <c r="K1166" i="1"/>
  <c r="K1158" i="1"/>
  <c r="K1150" i="1"/>
  <c r="K1142" i="1"/>
  <c r="K1134" i="1"/>
  <c r="K1126" i="1"/>
  <c r="K1118" i="1"/>
  <c r="K1110" i="1"/>
  <c r="K1102" i="1"/>
  <c r="K1094" i="1"/>
  <c r="K1086" i="1"/>
  <c r="K1078" i="1"/>
  <c r="K1070" i="1"/>
  <c r="K1062" i="1"/>
  <c r="K1054" i="1"/>
  <c r="K1046" i="1"/>
  <c r="K1038" i="1"/>
  <c r="K1030" i="1"/>
  <c r="K1022" i="1"/>
  <c r="K1014" i="1"/>
  <c r="K1006" i="1"/>
  <c r="K998" i="1"/>
  <c r="K990" i="1"/>
  <c r="K982" i="1"/>
  <c r="K974" i="1"/>
  <c r="K966" i="1"/>
  <c r="K958" i="1"/>
  <c r="K950" i="1"/>
  <c r="K942" i="1"/>
  <c r="K934" i="1"/>
  <c r="K926" i="1"/>
  <c r="K918" i="1"/>
  <c r="K910" i="1"/>
  <c r="K902" i="1"/>
  <c r="K1693" i="1"/>
  <c r="K1685" i="1"/>
  <c r="K1677" i="1"/>
  <c r="K1669" i="1"/>
  <c r="K1661" i="1"/>
  <c r="K1653" i="1"/>
  <c r="K1645" i="1"/>
  <c r="K1637" i="1"/>
  <c r="K1629" i="1"/>
  <c r="K1621" i="1"/>
  <c r="K1613" i="1"/>
  <c r="K1605" i="1"/>
  <c r="K1597" i="1"/>
  <c r="K1589" i="1"/>
  <c r="K1581" i="1"/>
  <c r="K1573" i="1"/>
  <c r="K1565" i="1"/>
  <c r="K1557" i="1"/>
  <c r="K1549" i="1"/>
  <c r="K1541" i="1"/>
  <c r="K1533" i="1"/>
  <c r="K1525" i="1"/>
  <c r="K1517" i="1"/>
  <c r="K1509" i="1"/>
  <c r="K1501" i="1"/>
  <c r="K1493" i="1"/>
  <c r="K1485" i="1"/>
  <c r="K1477" i="1"/>
  <c r="K1469" i="1"/>
  <c r="K1461" i="1"/>
  <c r="K1453" i="1"/>
  <c r="K1445" i="1"/>
  <c r="K1437" i="1"/>
  <c r="K1429" i="1"/>
  <c r="K1421" i="1"/>
  <c r="K1413" i="1"/>
  <c r="K1405" i="1"/>
  <c r="K1397" i="1"/>
  <c r="K1389" i="1"/>
  <c r="K1381" i="1"/>
  <c r="K1373" i="1"/>
  <c r="K1365" i="1"/>
  <c r="K1357" i="1"/>
  <c r="K1349" i="1"/>
  <c r="K1341" i="1"/>
  <c r="K1333" i="1"/>
  <c r="K1325" i="1"/>
  <c r="K1317" i="1"/>
  <c r="K1309" i="1"/>
  <c r="K1301" i="1"/>
  <c r="K1293" i="1"/>
  <c r="K1285" i="1"/>
  <c r="K1277" i="1"/>
  <c r="K1269" i="1"/>
  <c r="K1261" i="1"/>
  <c r="K1253" i="1"/>
  <c r="K1245" i="1"/>
  <c r="K1237" i="1"/>
  <c r="K1229" i="1"/>
  <c r="K1221" i="1"/>
  <c r="K1213" i="1"/>
  <c r="K1205" i="1"/>
  <c r="K1197" i="1"/>
  <c r="K1189" i="1"/>
  <c r="K1181" i="1"/>
  <c r="K1173" i="1"/>
  <c r="K1165" i="1"/>
  <c r="K1157" i="1"/>
  <c r="K1149" i="1"/>
  <c r="K1141" i="1"/>
  <c r="K1133" i="1"/>
  <c r="K1125" i="1"/>
  <c r="K1117" i="1"/>
  <c r="K1109" i="1"/>
  <c r="K1101" i="1"/>
  <c r="K1093" i="1"/>
  <c r="K1085" i="1"/>
  <c r="K1077" i="1"/>
  <c r="K1069" i="1"/>
  <c r="K1061" i="1"/>
  <c r="K1053" i="1"/>
  <c r="K1045" i="1"/>
  <c r="K1037" i="1"/>
  <c r="K1029" i="1"/>
  <c r="K1021" i="1"/>
  <c r="K1013" i="1"/>
  <c r="K1005" i="1"/>
  <c r="K997" i="1"/>
  <c r="K989" i="1"/>
  <c r="K981" i="1"/>
  <c r="K973" i="1"/>
  <c r="K965" i="1"/>
  <c r="K957" i="1"/>
  <c r="K949" i="1"/>
  <c r="K941" i="1"/>
  <c r="K933" i="1"/>
  <c r="K925" i="1"/>
  <c r="K917" i="1"/>
  <c r="K909" i="1"/>
  <c r="K901" i="1"/>
  <c r="K893" i="1"/>
  <c r="K885" i="1"/>
  <c r="K877" i="1"/>
  <c r="K869" i="1"/>
  <c r="K861" i="1"/>
  <c r="K853" i="1"/>
  <c r="K845" i="1"/>
  <c r="K837" i="1"/>
  <c r="K829" i="1"/>
  <c r="K821" i="1"/>
  <c r="K813" i="1"/>
  <c r="K805" i="1"/>
  <c r="K797" i="1"/>
  <c r="K789" i="1"/>
  <c r="K781" i="1"/>
  <c r="K773" i="1"/>
  <c r="K765" i="1"/>
  <c r="K757" i="1"/>
  <c r="K749" i="1"/>
  <c r="K741" i="1"/>
  <c r="K733" i="1"/>
  <c r="K725" i="1"/>
  <c r="K717" i="1"/>
  <c r="K709" i="1"/>
  <c r="K701" i="1"/>
  <c r="K693" i="1"/>
  <c r="K1844" i="1"/>
  <c r="K1836" i="1"/>
  <c r="K1828" i="1"/>
  <c r="K1820" i="1"/>
  <c r="K1812" i="1"/>
  <c r="K1804" i="1"/>
  <c r="K1796" i="1"/>
  <c r="K1788" i="1"/>
  <c r="K1780" i="1"/>
  <c r="K1772" i="1"/>
  <c r="K1764" i="1"/>
  <c r="K1756" i="1"/>
  <c r="K1748" i="1"/>
  <c r="K1740" i="1"/>
  <c r="K1732" i="1"/>
  <c r="K1724" i="1"/>
  <c r="K1716" i="1"/>
  <c r="K1708" i="1"/>
  <c r="K1700" i="1"/>
  <c r="K1692" i="1"/>
  <c r="K1684" i="1"/>
  <c r="K1676" i="1"/>
  <c r="K1668" i="1"/>
  <c r="K1660" i="1"/>
  <c r="K1652" i="1"/>
  <c r="K1644" i="1"/>
  <c r="K1636" i="1"/>
  <c r="K1628" i="1"/>
  <c r="K1620" i="1"/>
  <c r="K1612" i="1"/>
  <c r="K1604" i="1"/>
  <c r="K1596" i="1"/>
  <c r="K1588" i="1"/>
  <c r="K1580" i="1"/>
  <c r="K1572" i="1"/>
  <c r="K1564" i="1"/>
  <c r="K1556" i="1"/>
  <c r="K1548" i="1"/>
  <c r="K1540" i="1"/>
  <c r="K1532" i="1"/>
  <c r="K1524" i="1"/>
  <c r="K1516" i="1"/>
  <c r="K1508" i="1"/>
  <c r="K1500" i="1"/>
  <c r="K1492" i="1"/>
  <c r="K1484" i="1"/>
  <c r="K1476" i="1"/>
  <c r="K1468" i="1"/>
  <c r="K1460" i="1"/>
  <c r="K1452" i="1"/>
  <c r="K1444" i="1"/>
  <c r="K1436" i="1"/>
  <c r="K1428" i="1"/>
  <c r="K1420" i="1"/>
  <c r="K1412" i="1"/>
  <c r="K1404" i="1"/>
  <c r="K1396" i="1"/>
  <c r="K1388" i="1"/>
  <c r="K1380" i="1"/>
  <c r="K1372" i="1"/>
  <c r="K1364" i="1"/>
  <c r="K1356" i="1"/>
  <c r="K1348" i="1"/>
  <c r="K1340" i="1"/>
  <c r="K1332" i="1"/>
  <c r="K1324" i="1"/>
  <c r="K1316" i="1"/>
  <c r="K1308" i="1"/>
  <c r="K1300" i="1"/>
  <c r="K1292" i="1"/>
  <c r="K1284" i="1"/>
  <c r="K1276" i="1"/>
  <c r="K1268" i="1"/>
  <c r="K1260" i="1"/>
  <c r="K1252" i="1"/>
  <c r="K1244" i="1"/>
  <c r="K1236" i="1"/>
  <c r="K1228" i="1"/>
  <c r="K1220" i="1"/>
  <c r="K1212" i="1"/>
  <c r="K1204" i="1"/>
  <c r="K1196" i="1"/>
  <c r="K1188" i="1"/>
  <c r="K1180" i="1"/>
  <c r="K1172" i="1"/>
  <c r="K1164" i="1"/>
  <c r="K1156" i="1"/>
  <c r="K1148" i="1"/>
  <c r="K1140" i="1"/>
  <c r="K1132" i="1"/>
  <c r="K1124" i="1"/>
  <c r="K1116" i="1"/>
  <c r="K1108" i="1"/>
  <c r="K1100" i="1"/>
  <c r="K1092" i="1"/>
  <c r="K1084" i="1"/>
  <c r="K1076" i="1"/>
  <c r="K1068" i="1"/>
  <c r="K1060" i="1"/>
  <c r="K1052" i="1"/>
  <c r="K1044" i="1"/>
  <c r="K1036" i="1"/>
  <c r="K1028" i="1"/>
  <c r="K1020" i="1"/>
  <c r="K1012" i="1"/>
  <c r="K1004" i="1"/>
  <c r="K996" i="1"/>
  <c r="K988" i="1"/>
  <c r="K980" i="1"/>
  <c r="K972" i="1"/>
  <c r="K964" i="1"/>
  <c r="K956" i="1"/>
  <c r="K948" i="1"/>
  <c r="K940" i="1"/>
  <c r="K932" i="1"/>
  <c r="K924" i="1"/>
  <c r="K916" i="1"/>
  <c r="K908" i="1"/>
  <c r="K900" i="1"/>
  <c r="K892" i="1"/>
  <c r="K884" i="1"/>
  <c r="K876" i="1"/>
  <c r="K868" i="1"/>
  <c r="K860" i="1"/>
  <c r="K852" i="1"/>
  <c r="K844" i="1"/>
  <c r="K836" i="1"/>
  <c r="K828" i="1"/>
  <c r="K820" i="1"/>
  <c r="K812" i="1"/>
  <c r="K804" i="1"/>
  <c r="K796" i="1"/>
  <c r="K788" i="1"/>
  <c r="K780" i="1"/>
  <c r="K772" i="1"/>
  <c r="K764" i="1"/>
  <c r="K756" i="1"/>
  <c r="K748" i="1"/>
  <c r="K740" i="1"/>
  <c r="K732" i="1"/>
  <c r="K1827" i="1"/>
  <c r="K1819" i="1"/>
  <c r="K1811" i="1"/>
  <c r="K1803" i="1"/>
  <c r="K1795" i="1"/>
  <c r="K1787" i="1"/>
  <c r="K1779" i="1"/>
  <c r="K1771" i="1"/>
  <c r="K1763" i="1"/>
  <c r="K1755" i="1"/>
  <c r="K1747" i="1"/>
  <c r="K1739" i="1"/>
  <c r="K1731" i="1"/>
  <c r="K1723" i="1"/>
  <c r="K1715" i="1"/>
  <c r="K1707" i="1"/>
  <c r="K1699" i="1"/>
  <c r="K1691" i="1"/>
  <c r="K1683" i="1"/>
  <c r="K1675" i="1"/>
  <c r="K1667" i="1"/>
  <c r="K1659" i="1"/>
  <c r="K1651" i="1"/>
  <c r="K1643" i="1"/>
  <c r="K1635" i="1"/>
  <c r="K1627" i="1"/>
  <c r="K1619" i="1"/>
  <c r="K1611" i="1"/>
  <c r="K1603" i="1"/>
  <c r="K1595" i="1"/>
  <c r="K1587" i="1"/>
  <c r="K1579" i="1"/>
  <c r="K1571" i="1"/>
  <c r="K1563" i="1"/>
  <c r="K1555" i="1"/>
  <c r="K1547" i="1"/>
  <c r="K1539" i="1"/>
  <c r="K1531" i="1"/>
  <c r="K1523" i="1"/>
  <c r="K1515" i="1"/>
  <c r="K1507" i="1"/>
  <c r="K1499" i="1"/>
  <c r="K1491" i="1"/>
  <c r="K1483" i="1"/>
  <c r="K1475" i="1"/>
  <c r="K1467" i="1"/>
  <c r="K1459" i="1"/>
  <c r="K1451" i="1"/>
  <c r="K1443" i="1"/>
  <c r="K1435" i="1"/>
  <c r="K1427" i="1"/>
  <c r="K1419" i="1"/>
  <c r="K1411" i="1"/>
  <c r="K1403" i="1"/>
  <c r="K1395" i="1"/>
  <c r="K1387" i="1"/>
  <c r="K1379" i="1"/>
  <c r="K1371" i="1"/>
  <c r="K1363" i="1"/>
  <c r="K1355" i="1"/>
  <c r="K1347" i="1"/>
  <c r="K1339" i="1"/>
  <c r="K1331" i="1"/>
  <c r="K1323" i="1"/>
  <c r="K1315" i="1"/>
  <c r="K1307" i="1"/>
  <c r="K1299" i="1"/>
  <c r="K1291" i="1"/>
  <c r="K1283" i="1"/>
  <c r="K1275" i="1"/>
  <c r="K1267" i="1"/>
  <c r="K1259" i="1"/>
  <c r="K1251" i="1"/>
  <c r="K1243" i="1"/>
  <c r="K1235" i="1"/>
  <c r="K1227" i="1"/>
  <c r="K1219" i="1"/>
  <c r="K1211" i="1"/>
  <c r="K1203" i="1"/>
  <c r="K1195" i="1"/>
  <c r="K1187" i="1"/>
  <c r="K1179" i="1"/>
  <c r="K1171" i="1"/>
  <c r="K1163" i="1"/>
  <c r="K1155" i="1"/>
  <c r="K1147" i="1"/>
  <c r="K1139" i="1"/>
  <c r="K1131" i="1"/>
  <c r="K1123" i="1"/>
  <c r="K1115" i="1"/>
  <c r="K1107" i="1"/>
  <c r="K1099" i="1"/>
  <c r="K1091" i="1"/>
  <c r="K1083" i="1"/>
  <c r="K1075" i="1"/>
  <c r="K1067" i="1"/>
  <c r="K1059" i="1"/>
  <c r="K1051" i="1"/>
  <c r="K1043" i="1"/>
  <c r="K1035" i="1"/>
  <c r="K1027" i="1"/>
  <c r="K1019" i="1"/>
  <c r="K1011" i="1"/>
  <c r="K1003" i="1"/>
  <c r="K995" i="1"/>
  <c r="K987" i="1"/>
  <c r="K979" i="1"/>
  <c r="K971" i="1"/>
  <c r="K963" i="1"/>
  <c r="K955" i="1"/>
  <c r="K947" i="1"/>
  <c r="K939" i="1"/>
  <c r="K931" i="1"/>
  <c r="K923" i="1"/>
  <c r="K915" i="1"/>
  <c r="K907" i="1"/>
  <c r="K899" i="1"/>
  <c r="K891" i="1"/>
  <c r="K883" i="1"/>
  <c r="K875" i="1"/>
  <c r="K867" i="1"/>
  <c r="K859" i="1"/>
  <c r="K851" i="1"/>
  <c r="K843" i="1"/>
  <c r="K835" i="1"/>
  <c r="K827" i="1"/>
  <c r="K819" i="1"/>
  <c r="K1370" i="1"/>
  <c r="K1362" i="1"/>
  <c r="K1354" i="1"/>
  <c r="K1346" i="1"/>
  <c r="K1338" i="1"/>
  <c r="K1330" i="1"/>
  <c r="K1322" i="1"/>
  <c r="K1314" i="1"/>
  <c r="K1306" i="1"/>
  <c r="K1298" i="1"/>
  <c r="K1290" i="1"/>
  <c r="K1282" i="1"/>
  <c r="K1274" i="1"/>
  <c r="K1266" i="1"/>
  <c r="K1258" i="1"/>
  <c r="K1250" i="1"/>
  <c r="K1242" i="1"/>
  <c r="K1234" i="1"/>
  <c r="K1226" i="1"/>
  <c r="K1218" i="1"/>
  <c r="K1210" i="1"/>
  <c r="K1202" i="1"/>
  <c r="K1194" i="1"/>
  <c r="K1186" i="1"/>
  <c r="K1178" i="1"/>
  <c r="K1170" i="1"/>
  <c r="K1162" i="1"/>
  <c r="K1154" i="1"/>
  <c r="K1146" i="1"/>
  <c r="K1138" i="1"/>
  <c r="K1130" i="1"/>
  <c r="K1122" i="1"/>
  <c r="K1114" i="1"/>
  <c r="K1106" i="1"/>
  <c r="K1098" i="1"/>
  <c r="K1090" i="1"/>
  <c r="K1082" i="1"/>
  <c r="K1074" i="1"/>
  <c r="K1066" i="1"/>
  <c r="K1058" i="1"/>
  <c r="K1050" i="1"/>
  <c r="K1042" i="1"/>
  <c r="K1034" i="1"/>
  <c r="K1026" i="1"/>
  <c r="K1018" i="1"/>
  <c r="K1010" i="1"/>
  <c r="K1002" i="1"/>
  <c r="K994" i="1"/>
  <c r="K986" i="1"/>
  <c r="K978" i="1"/>
  <c r="K970" i="1"/>
  <c r="K962" i="1"/>
  <c r="K954" i="1"/>
  <c r="K946" i="1"/>
  <c r="K938" i="1"/>
  <c r="K930" i="1"/>
  <c r="K922" i="1"/>
  <c r="K914" i="1"/>
  <c r="K906" i="1"/>
  <c r="K898" i="1"/>
  <c r="K890" i="1"/>
  <c r="K882" i="1"/>
  <c r="K874" i="1"/>
  <c r="K866" i="1"/>
  <c r="K858" i="1"/>
  <c r="K850" i="1"/>
  <c r="K842" i="1"/>
  <c r="K834" i="1"/>
  <c r="K826" i="1"/>
  <c r="K818" i="1"/>
  <c r="K810" i="1"/>
  <c r="K802" i="1"/>
  <c r="K794" i="1"/>
  <c r="K786" i="1"/>
  <c r="K778" i="1"/>
  <c r="K770" i="1"/>
  <c r="K762" i="1"/>
  <c r="K754" i="1"/>
  <c r="K746" i="1"/>
  <c r="K738" i="1"/>
  <c r="K730" i="1"/>
  <c r="K722" i="1"/>
  <c r="K714" i="1"/>
  <c r="K706" i="1"/>
  <c r="K698" i="1"/>
  <c r="K690" i="1"/>
  <c r="K682" i="1"/>
  <c r="K674" i="1"/>
  <c r="K666" i="1"/>
  <c r="K658" i="1"/>
  <c r="K650" i="1"/>
  <c r="K642" i="1"/>
  <c r="K634" i="1"/>
  <c r="K626" i="1"/>
  <c r="K618" i="1"/>
  <c r="K610" i="1"/>
  <c r="K602" i="1"/>
  <c r="K594" i="1"/>
  <c r="K586" i="1"/>
  <c r="K578" i="1"/>
  <c r="K570" i="1"/>
  <c r="K562" i="1"/>
  <c r="K554" i="1"/>
  <c r="K546" i="1"/>
  <c r="K538" i="1"/>
  <c r="K530" i="1"/>
  <c r="K522" i="1"/>
  <c r="K514" i="1"/>
  <c r="K506" i="1"/>
  <c r="K498" i="1"/>
  <c r="K490" i="1"/>
  <c r="K482" i="1"/>
  <c r="K474" i="1"/>
  <c r="K466" i="1"/>
  <c r="K458" i="1"/>
  <c r="K450" i="1"/>
  <c r="K442" i="1"/>
  <c r="K434" i="1"/>
  <c r="K426" i="1"/>
  <c r="K418" i="1"/>
  <c r="K410" i="1"/>
  <c r="K402" i="1"/>
  <c r="K394" i="1"/>
  <c r="K386" i="1"/>
  <c r="K378" i="1"/>
  <c r="K370" i="1"/>
  <c r="K362" i="1"/>
  <c r="K354" i="1"/>
  <c r="K346" i="1"/>
  <c r="K338" i="1"/>
  <c r="K330" i="1"/>
  <c r="K322" i="1"/>
  <c r="K314" i="1"/>
  <c r="K306" i="1"/>
  <c r="K298" i="1"/>
  <c r="K290" i="1"/>
  <c r="K282" i="1"/>
  <c r="K274" i="1"/>
  <c r="K266" i="1"/>
  <c r="K258" i="1"/>
  <c r="K250" i="1"/>
  <c r="K242" i="1"/>
  <c r="K234" i="1"/>
  <c r="K226" i="1"/>
  <c r="K218" i="1"/>
  <c r="K210" i="1"/>
  <c r="K202" i="1"/>
  <c r="K194" i="1"/>
  <c r="K186" i="1"/>
  <c r="K178" i="1"/>
  <c r="K170" i="1"/>
  <c r="K162" i="1"/>
  <c r="K154" i="1"/>
  <c r="K146" i="1"/>
  <c r="K138" i="1"/>
  <c r="K130" i="1"/>
  <c r="K122" i="1"/>
  <c r="K114" i="1"/>
  <c r="K106" i="1"/>
  <c r="K98" i="1"/>
  <c r="K90" i="1"/>
  <c r="K82" i="1"/>
  <c r="K74" i="1"/>
  <c r="K66" i="1"/>
  <c r="K58" i="1"/>
  <c r="K50" i="1"/>
  <c r="K42" i="1"/>
  <c r="K34" i="1"/>
  <c r="K26" i="1"/>
  <c r="K18" i="1"/>
  <c r="K10" i="1"/>
  <c r="K873" i="1"/>
  <c r="K865" i="1"/>
  <c r="K857" i="1"/>
  <c r="K849" i="1"/>
  <c r="K841" i="1"/>
  <c r="K833" i="1"/>
  <c r="K825" i="1"/>
  <c r="K817" i="1"/>
  <c r="K809" i="1"/>
  <c r="K801" i="1"/>
  <c r="K793" i="1"/>
  <c r="K785" i="1"/>
  <c r="K777" i="1"/>
  <c r="K769" i="1"/>
  <c r="K761" i="1"/>
  <c r="K753" i="1"/>
  <c r="K745" i="1"/>
  <c r="K737" i="1"/>
  <c r="K729" i="1"/>
  <c r="K721" i="1"/>
  <c r="K713" i="1"/>
  <c r="K705" i="1"/>
  <c r="K697" i="1"/>
  <c r="K689" i="1"/>
  <c r="K681" i="1"/>
  <c r="K673" i="1"/>
  <c r="K665" i="1"/>
  <c r="K657" i="1"/>
  <c r="K649" i="1"/>
  <c r="K641" i="1"/>
  <c r="K633" i="1"/>
  <c r="K625" i="1"/>
  <c r="K617" i="1"/>
  <c r="K609" i="1"/>
  <c r="K601" i="1"/>
  <c r="K593" i="1"/>
  <c r="K585" i="1"/>
  <c r="K577" i="1"/>
  <c r="K569" i="1"/>
  <c r="K561" i="1"/>
  <c r="K553" i="1"/>
  <c r="K545" i="1"/>
  <c r="K537" i="1"/>
  <c r="K529" i="1"/>
  <c r="K521" i="1"/>
  <c r="K513" i="1"/>
  <c r="K505" i="1"/>
  <c r="K497" i="1"/>
  <c r="K489" i="1"/>
  <c r="K481" i="1"/>
  <c r="K473" i="1"/>
  <c r="K465" i="1"/>
  <c r="K457" i="1"/>
  <c r="K449" i="1"/>
  <c r="K441" i="1"/>
  <c r="K433" i="1"/>
  <c r="K425" i="1"/>
  <c r="K417" i="1"/>
  <c r="K409" i="1"/>
  <c r="K401" i="1"/>
  <c r="K393" i="1"/>
  <c r="K385" i="1"/>
  <c r="K377" i="1"/>
  <c r="K369" i="1"/>
  <c r="K361" i="1"/>
  <c r="K353" i="1"/>
  <c r="K345" i="1"/>
  <c r="K337" i="1"/>
  <c r="K329" i="1"/>
  <c r="K321" i="1"/>
  <c r="K313" i="1"/>
  <c r="K305" i="1"/>
  <c r="K297" i="1"/>
  <c r="K289" i="1"/>
  <c r="K281" i="1"/>
  <c r="K273" i="1"/>
  <c r="K265" i="1"/>
  <c r="K257" i="1"/>
  <c r="K249" i="1"/>
  <c r="K241" i="1"/>
  <c r="K233" i="1"/>
  <c r="K225" i="1"/>
  <c r="K217" i="1"/>
  <c r="K209" i="1"/>
  <c r="K201" i="1"/>
  <c r="K193" i="1"/>
  <c r="K185" i="1"/>
  <c r="K177" i="1"/>
  <c r="K169" i="1"/>
  <c r="K161" i="1"/>
  <c r="K153" i="1"/>
  <c r="K145" i="1"/>
  <c r="K137" i="1"/>
  <c r="K129" i="1"/>
  <c r="K121" i="1"/>
  <c r="K113" i="1"/>
  <c r="K105" i="1"/>
  <c r="K97" i="1"/>
  <c r="K89" i="1"/>
  <c r="K81" i="1"/>
  <c r="K73" i="1"/>
  <c r="K65" i="1"/>
  <c r="K57" i="1"/>
  <c r="K49" i="1"/>
  <c r="K41" i="1"/>
  <c r="K33" i="1"/>
  <c r="K25" i="1"/>
  <c r="K17" i="1"/>
  <c r="K9" i="1"/>
  <c r="K776" i="1"/>
  <c r="K768" i="1"/>
  <c r="K760" i="1"/>
  <c r="K752" i="1"/>
  <c r="K744" i="1"/>
  <c r="K736" i="1"/>
  <c r="K728" i="1"/>
  <c r="K720" i="1"/>
  <c r="K712" i="1"/>
  <c r="K704" i="1"/>
  <c r="K696" i="1"/>
  <c r="K688" i="1"/>
  <c r="K680" i="1"/>
  <c r="K672" i="1"/>
  <c r="K664" i="1"/>
  <c r="K656" i="1"/>
  <c r="K648" i="1"/>
  <c r="K640" i="1"/>
  <c r="K632" i="1"/>
  <c r="K624" i="1"/>
  <c r="K616" i="1"/>
  <c r="K608" i="1"/>
  <c r="K600" i="1"/>
  <c r="K592" i="1"/>
  <c r="K584" i="1"/>
  <c r="K576" i="1"/>
  <c r="K568" i="1"/>
  <c r="K560" i="1"/>
  <c r="K552" i="1"/>
  <c r="K544" i="1"/>
  <c r="K536" i="1"/>
  <c r="K528" i="1"/>
  <c r="K520" i="1"/>
  <c r="K512" i="1"/>
  <c r="K504" i="1"/>
  <c r="K496" i="1"/>
  <c r="K488" i="1"/>
  <c r="K480" i="1"/>
  <c r="K472" i="1"/>
  <c r="K464" i="1"/>
  <c r="K456" i="1"/>
  <c r="K448" i="1"/>
  <c r="K440" i="1"/>
  <c r="K432" i="1"/>
  <c r="K424" i="1"/>
  <c r="K416" i="1"/>
  <c r="K408" i="1"/>
  <c r="K400" i="1"/>
  <c r="K392" i="1"/>
  <c r="K384" i="1"/>
  <c r="K376" i="1"/>
  <c r="K368" i="1"/>
  <c r="K360" i="1"/>
  <c r="K352" i="1"/>
  <c r="K344" i="1"/>
  <c r="K336" i="1"/>
  <c r="K328" i="1"/>
  <c r="K320" i="1"/>
  <c r="K312" i="1"/>
  <c r="K304" i="1"/>
  <c r="K296" i="1"/>
  <c r="K1015" i="1"/>
  <c r="K1007" i="1"/>
  <c r="K999" i="1"/>
  <c r="K991" i="1"/>
  <c r="K983" i="1"/>
  <c r="K975" i="1"/>
  <c r="K967" i="1"/>
  <c r="K959" i="1"/>
  <c r="K951" i="1"/>
  <c r="K943" i="1"/>
  <c r="K935" i="1"/>
  <c r="K927" i="1"/>
  <c r="K919" i="1"/>
  <c r="K911" i="1"/>
  <c r="K903" i="1"/>
  <c r="K895" i="1"/>
  <c r="K887" i="1"/>
  <c r="K879" i="1"/>
  <c r="K871" i="1"/>
  <c r="K863" i="1"/>
  <c r="K855" i="1"/>
  <c r="K847" i="1"/>
  <c r="K839" i="1"/>
  <c r="K831" i="1"/>
  <c r="K823" i="1"/>
  <c r="K815" i="1"/>
  <c r="K807" i="1"/>
  <c r="K799" i="1"/>
  <c r="K791" i="1"/>
  <c r="K783" i="1"/>
  <c r="K775" i="1"/>
  <c r="K767" i="1"/>
  <c r="K759" i="1"/>
  <c r="K751" i="1"/>
  <c r="K743" i="1"/>
  <c r="K735" i="1"/>
  <c r="K727" i="1"/>
  <c r="K719" i="1"/>
  <c r="K711" i="1"/>
  <c r="K703" i="1"/>
  <c r="K695" i="1"/>
  <c r="K687" i="1"/>
  <c r="K679" i="1"/>
  <c r="K671" i="1"/>
  <c r="K663" i="1"/>
  <c r="K655" i="1"/>
  <c r="K647" i="1"/>
  <c r="K639" i="1"/>
  <c r="K631" i="1"/>
  <c r="K623" i="1"/>
  <c r="K615" i="1"/>
  <c r="K607" i="1"/>
  <c r="K599" i="1"/>
  <c r="K591" i="1"/>
  <c r="K583" i="1"/>
  <c r="K575" i="1"/>
  <c r="K567" i="1"/>
  <c r="K559" i="1"/>
  <c r="K551" i="1"/>
  <c r="K543" i="1"/>
  <c r="K535" i="1"/>
  <c r="K527" i="1"/>
  <c r="K519" i="1"/>
  <c r="K511" i="1"/>
  <c r="K503" i="1"/>
  <c r="K495" i="1"/>
  <c r="K487" i="1"/>
  <c r="K479" i="1"/>
  <c r="K471" i="1"/>
  <c r="K463" i="1"/>
  <c r="K455" i="1"/>
  <c r="K447" i="1"/>
  <c r="K439" i="1"/>
  <c r="K431" i="1"/>
  <c r="K423" i="1"/>
  <c r="K415" i="1"/>
  <c r="K407" i="1"/>
  <c r="K399" i="1"/>
  <c r="K391" i="1"/>
  <c r="K383" i="1"/>
  <c r="K375" i="1"/>
  <c r="K367" i="1"/>
  <c r="K359" i="1"/>
  <c r="K351" i="1"/>
  <c r="K894" i="1"/>
  <c r="K886" i="1"/>
  <c r="K878" i="1"/>
  <c r="K870" i="1"/>
  <c r="K862" i="1"/>
  <c r="K854" i="1"/>
  <c r="K846" i="1"/>
  <c r="K838" i="1"/>
  <c r="K830" i="1"/>
  <c r="K822" i="1"/>
  <c r="K814" i="1"/>
  <c r="K806" i="1"/>
  <c r="K798" i="1"/>
  <c r="K790" i="1"/>
  <c r="K782" i="1"/>
  <c r="K774" i="1"/>
  <c r="K766" i="1"/>
  <c r="K758" i="1"/>
  <c r="K750" i="1"/>
  <c r="K742" i="1"/>
  <c r="K734" i="1"/>
  <c r="K726" i="1"/>
  <c r="K718" i="1"/>
  <c r="K710" i="1"/>
  <c r="K702" i="1"/>
  <c r="K694" i="1"/>
  <c r="K686" i="1"/>
  <c r="K678" i="1"/>
  <c r="K670" i="1"/>
  <c r="K662" i="1"/>
  <c r="K654" i="1"/>
  <c r="K646" i="1"/>
  <c r="K638" i="1"/>
  <c r="K630" i="1"/>
  <c r="K622" i="1"/>
  <c r="K614" i="1"/>
  <c r="K606" i="1"/>
  <c r="K598" i="1"/>
  <c r="K590" i="1"/>
  <c r="K582" i="1"/>
  <c r="K574" i="1"/>
  <c r="K566" i="1"/>
  <c r="K558" i="1"/>
  <c r="K550" i="1"/>
  <c r="K542" i="1"/>
  <c r="K534" i="1"/>
  <c r="K526" i="1"/>
  <c r="K518" i="1"/>
  <c r="K510" i="1"/>
  <c r="K502" i="1"/>
  <c r="K494" i="1"/>
  <c r="K486" i="1"/>
  <c r="K478" i="1"/>
  <c r="K470" i="1"/>
  <c r="K462" i="1"/>
  <c r="K454" i="1"/>
  <c r="K446" i="1"/>
  <c r="K438" i="1"/>
  <c r="K430" i="1"/>
  <c r="K422" i="1"/>
  <c r="K685" i="1"/>
  <c r="K677" i="1"/>
  <c r="K669" i="1"/>
  <c r="K661" i="1"/>
  <c r="K653" i="1"/>
  <c r="K645" i="1"/>
  <c r="K637" i="1"/>
  <c r="K629" i="1"/>
  <c r="K621" i="1"/>
  <c r="K613" i="1"/>
  <c r="K605" i="1"/>
  <c r="K597" i="1"/>
  <c r="K589" i="1"/>
  <c r="K581" i="1"/>
  <c r="K573" i="1"/>
  <c r="K565" i="1"/>
  <c r="K557" i="1"/>
  <c r="K549" i="1"/>
  <c r="K541" i="1"/>
  <c r="K533" i="1"/>
  <c r="K525" i="1"/>
  <c r="K517" i="1"/>
  <c r="K509" i="1"/>
  <c r="K501" i="1"/>
  <c r="K493" i="1"/>
  <c r="K485" i="1"/>
  <c r="K477" i="1"/>
  <c r="K469" i="1"/>
  <c r="K461" i="1"/>
  <c r="K453" i="1"/>
  <c r="K445" i="1"/>
  <c r="K437" i="1"/>
  <c r="K429" i="1"/>
  <c r="K421" i="1"/>
  <c r="K413" i="1"/>
  <c r="K405" i="1"/>
  <c r="K397" i="1"/>
  <c r="K389" i="1"/>
  <c r="K381" i="1"/>
  <c r="K373" i="1"/>
  <c r="K365" i="1"/>
  <c r="K357" i="1"/>
  <c r="K349" i="1"/>
  <c r="K341" i="1"/>
  <c r="K333" i="1"/>
  <c r="K325" i="1"/>
  <c r="K317" i="1"/>
  <c r="K309" i="1"/>
  <c r="K301" i="1"/>
  <c r="K293" i="1"/>
  <c r="K285" i="1"/>
  <c r="K277" i="1"/>
  <c r="K221" i="1"/>
  <c r="K213" i="1"/>
  <c r="K165" i="1"/>
  <c r="K85" i="1"/>
  <c r="K724" i="1"/>
  <c r="K716" i="1"/>
  <c r="K708" i="1"/>
  <c r="K700" i="1"/>
  <c r="K692" i="1"/>
  <c r="K684" i="1"/>
  <c r="K676" i="1"/>
  <c r="K668" i="1"/>
  <c r="K660" i="1"/>
  <c r="K652" i="1"/>
  <c r="K644" i="1"/>
  <c r="K636" i="1"/>
  <c r="K628" i="1"/>
  <c r="K620" i="1"/>
  <c r="K612" i="1"/>
  <c r="K604" i="1"/>
  <c r="K596" i="1"/>
  <c r="K588" i="1"/>
  <c r="K580" i="1"/>
  <c r="K572" i="1"/>
  <c r="K564" i="1"/>
  <c r="K556" i="1"/>
  <c r="K548" i="1"/>
  <c r="K540" i="1"/>
  <c r="K532" i="1"/>
  <c r="K524" i="1"/>
  <c r="K516" i="1"/>
  <c r="K508" i="1"/>
  <c r="K500" i="1"/>
  <c r="K492" i="1"/>
  <c r="K484" i="1"/>
  <c r="K476" i="1"/>
  <c r="K468" i="1"/>
  <c r="K460" i="1"/>
  <c r="K452" i="1"/>
  <c r="K444" i="1"/>
  <c r="K436" i="1"/>
  <c r="K428" i="1"/>
  <c r="K420" i="1"/>
  <c r="K412" i="1"/>
  <c r="K404" i="1"/>
  <c r="K396" i="1"/>
  <c r="K388" i="1"/>
  <c r="K380" i="1"/>
  <c r="K372" i="1"/>
  <c r="K364" i="1"/>
  <c r="K356" i="1"/>
  <c r="K348" i="1"/>
  <c r="K340" i="1"/>
  <c r="K332" i="1"/>
  <c r="K324" i="1"/>
  <c r="K316" i="1"/>
  <c r="K308" i="1"/>
  <c r="K300" i="1"/>
  <c r="K292" i="1"/>
  <c r="K284" i="1"/>
  <c r="K276" i="1"/>
  <c r="K268" i="1"/>
  <c r="K260" i="1"/>
  <c r="K252" i="1"/>
  <c r="K244" i="1"/>
  <c r="K236" i="1"/>
  <c r="K228" i="1"/>
  <c r="K220" i="1"/>
  <c r="K212" i="1"/>
  <c r="K204" i="1"/>
  <c r="K196" i="1"/>
  <c r="K188" i="1"/>
  <c r="K180" i="1"/>
  <c r="K172" i="1"/>
  <c r="K164" i="1"/>
  <c r="K156" i="1"/>
  <c r="K148" i="1"/>
  <c r="K140" i="1"/>
  <c r="K132" i="1"/>
  <c r="K124" i="1"/>
  <c r="K116" i="1"/>
  <c r="K108" i="1"/>
  <c r="K100" i="1"/>
  <c r="K92" i="1"/>
  <c r="K84" i="1"/>
  <c r="K76" i="1"/>
  <c r="K68" i="1"/>
  <c r="K60" i="1"/>
  <c r="K52" i="1"/>
  <c r="K44" i="1"/>
  <c r="K36" i="1"/>
  <c r="K28" i="1"/>
  <c r="K20" i="1"/>
  <c r="K12" i="1"/>
  <c r="K811" i="1"/>
  <c r="K803" i="1"/>
  <c r="K795" i="1"/>
  <c r="K787" i="1"/>
  <c r="K779" i="1"/>
  <c r="K771" i="1"/>
  <c r="K763" i="1"/>
  <c r="K755" i="1"/>
  <c r="K747" i="1"/>
  <c r="K739" i="1"/>
  <c r="K731" i="1"/>
  <c r="K723" i="1"/>
  <c r="K715" i="1"/>
  <c r="K707" i="1"/>
  <c r="K699" i="1"/>
  <c r="K691" i="1"/>
  <c r="K683" i="1"/>
  <c r="K675" i="1"/>
  <c r="K667" i="1"/>
  <c r="K659" i="1"/>
  <c r="K651" i="1"/>
  <c r="K643" i="1"/>
  <c r="K635" i="1"/>
  <c r="K627" i="1"/>
  <c r="K619" i="1"/>
  <c r="K611" i="1"/>
  <c r="K603" i="1"/>
  <c r="K595" i="1"/>
  <c r="K587" i="1"/>
  <c r="K579" i="1"/>
  <c r="K571" i="1"/>
  <c r="K563" i="1"/>
  <c r="K555" i="1"/>
  <c r="K547" i="1"/>
  <c r="K539" i="1"/>
  <c r="K531" i="1"/>
  <c r="K523" i="1"/>
  <c r="K515" i="1"/>
  <c r="K507" i="1"/>
  <c r="K499" i="1"/>
  <c r="K491" i="1"/>
  <c r="K483" i="1"/>
  <c r="K475" i="1"/>
  <c r="K467" i="1"/>
  <c r="K459" i="1"/>
  <c r="K451" i="1"/>
  <c r="K443" i="1"/>
  <c r="K435" i="1"/>
  <c r="K427" i="1"/>
  <c r="K419" i="1"/>
  <c r="K411" i="1"/>
  <c r="K403" i="1"/>
  <c r="K395" i="1"/>
  <c r="K387" i="1"/>
  <c r="K379" i="1"/>
  <c r="K371" i="1"/>
  <c r="K363" i="1"/>
  <c r="K355" i="1"/>
  <c r="K347" i="1"/>
  <c r="K339" i="1"/>
  <c r="K331" i="1"/>
  <c r="K323" i="1"/>
  <c r="K315" i="1"/>
  <c r="K307" i="1"/>
  <c r="K299" i="1"/>
  <c r="K291" i="1"/>
  <c r="K283" i="1"/>
  <c r="K275" i="1"/>
  <c r="K267" i="1"/>
  <c r="K259" i="1"/>
  <c r="K251" i="1"/>
  <c r="K243" i="1"/>
  <c r="K235" i="1"/>
  <c r="K227" i="1"/>
  <c r="K219" i="1"/>
  <c r="K211" i="1"/>
  <c r="K203" i="1"/>
  <c r="K195" i="1"/>
  <c r="K187" i="1"/>
  <c r="K179" i="1"/>
  <c r="K171" i="1"/>
  <c r="K163" i="1"/>
  <c r="K155" i="1"/>
  <c r="K147" i="1"/>
  <c r="K139" i="1"/>
  <c r="K131" i="1"/>
  <c r="K123" i="1"/>
  <c r="K115" i="1"/>
  <c r="K107" i="1"/>
  <c r="K99" i="1"/>
  <c r="K91" i="1"/>
  <c r="K83" i="1"/>
  <c r="K75" i="1"/>
  <c r="K67" i="1"/>
  <c r="K59" i="1"/>
  <c r="K51" i="1"/>
  <c r="K43" i="1"/>
  <c r="K35" i="1"/>
  <c r="K27" i="1"/>
  <c r="K19" i="1"/>
  <c r="K11" i="1"/>
  <c r="K269" i="1"/>
  <c r="K261" i="1"/>
  <c r="K253" i="1"/>
  <c r="K245" i="1"/>
  <c r="K237" i="1"/>
  <c r="K229" i="1"/>
  <c r="K205" i="1"/>
  <c r="K197" i="1"/>
  <c r="K189" i="1"/>
  <c r="K181" i="1"/>
  <c r="K173" i="1"/>
  <c r="K157" i="1"/>
  <c r="K149" i="1"/>
  <c r="K141" i="1"/>
  <c r="K133" i="1"/>
  <c r="K125" i="1"/>
  <c r="K117" i="1"/>
  <c r="K109" i="1"/>
  <c r="K101" i="1"/>
  <c r="K93" i="1"/>
  <c r="K77" i="1"/>
  <c r="K69" i="1"/>
  <c r="K61" i="1"/>
  <c r="K53" i="1"/>
  <c r="K45" i="1"/>
  <c r="K37" i="1"/>
  <c r="K29" i="1"/>
  <c r="K21" i="1"/>
  <c r="K13" i="1"/>
  <c r="K288" i="1"/>
  <c r="K280" i="1"/>
  <c r="K272" i="1"/>
  <c r="K264" i="1"/>
  <c r="K256" i="1"/>
  <c r="K248" i="1"/>
  <c r="K240" i="1"/>
  <c r="K232" i="1"/>
  <c r="K224" i="1"/>
  <c r="K216" i="1"/>
  <c r="K208" i="1"/>
  <c r="K200" i="1"/>
  <c r="K192" i="1"/>
  <c r="K184" i="1"/>
  <c r="K176" i="1"/>
  <c r="K168" i="1"/>
  <c r="K160" i="1"/>
  <c r="K152" i="1"/>
  <c r="K144" i="1"/>
  <c r="K136" i="1"/>
  <c r="K128" i="1"/>
  <c r="K120" i="1"/>
  <c r="K112" i="1"/>
  <c r="K104" i="1"/>
  <c r="K96" i="1"/>
  <c r="K88" i="1"/>
  <c r="K80" i="1"/>
  <c r="K72" i="1"/>
  <c r="K64" i="1"/>
  <c r="K56" i="1"/>
  <c r="K48" i="1"/>
  <c r="K40" i="1"/>
  <c r="K32" i="1"/>
  <c r="K24" i="1"/>
  <c r="K16" i="1"/>
  <c r="K8" i="1"/>
  <c r="K343" i="1"/>
  <c r="K335" i="1"/>
  <c r="K327" i="1"/>
  <c r="K319" i="1"/>
  <c r="K311" i="1"/>
  <c r="K303" i="1"/>
  <c r="K295" i="1"/>
  <c r="K287" i="1"/>
  <c r="K279" i="1"/>
  <c r="K271" i="1"/>
  <c r="K263" i="1"/>
  <c r="K255" i="1"/>
  <c r="K247" i="1"/>
  <c r="K239" i="1"/>
  <c r="K231" i="1"/>
  <c r="K223" i="1"/>
  <c r="K215" i="1"/>
  <c r="K207" i="1"/>
  <c r="K199" i="1"/>
  <c r="K191" i="1"/>
  <c r="K183" i="1"/>
  <c r="K175" i="1"/>
  <c r="K167" i="1"/>
  <c r="K159" i="1"/>
  <c r="K151" i="1"/>
  <c r="K143" i="1"/>
  <c r="K135" i="1"/>
  <c r="K127" i="1"/>
  <c r="K119" i="1"/>
  <c r="K111" i="1"/>
  <c r="K103" i="1"/>
  <c r="K95" i="1"/>
  <c r="K87" i="1"/>
  <c r="K79" i="1"/>
  <c r="K71" i="1"/>
  <c r="K63" i="1"/>
  <c r="K55" i="1"/>
  <c r="K47" i="1"/>
  <c r="K39" i="1"/>
  <c r="K31" i="1"/>
  <c r="K23" i="1"/>
  <c r="K15" i="1"/>
  <c r="K7" i="1"/>
  <c r="K414" i="1"/>
  <c r="K406" i="1"/>
  <c r="K398" i="1"/>
  <c r="K390" i="1"/>
  <c r="K382" i="1"/>
  <c r="K374" i="1"/>
  <c r="K366" i="1"/>
  <c r="K358" i="1"/>
  <c r="K350" i="1"/>
  <c r="K342" i="1"/>
  <c r="K334" i="1"/>
  <c r="K326" i="1"/>
  <c r="K318" i="1"/>
  <c r="K310" i="1"/>
  <c r="K302" i="1"/>
  <c r="K294" i="1"/>
  <c r="K286" i="1"/>
  <c r="K278" i="1"/>
  <c r="K270" i="1"/>
  <c r="K262" i="1"/>
  <c r="K254" i="1"/>
  <c r="K246" i="1"/>
  <c r="K238" i="1"/>
  <c r="K230" i="1"/>
  <c r="K222" i="1"/>
  <c r="K214" i="1"/>
  <c r="K206" i="1"/>
  <c r="K198" i="1"/>
  <c r="K190" i="1"/>
  <c r="K182" i="1"/>
  <c r="K174" i="1"/>
  <c r="K166" i="1"/>
  <c r="K158" i="1"/>
  <c r="K150" i="1"/>
  <c r="K142" i="1"/>
  <c r="K134" i="1"/>
  <c r="K126" i="1"/>
  <c r="K118" i="1"/>
  <c r="K110" i="1"/>
  <c r="K102" i="1"/>
  <c r="K94" i="1"/>
  <c r="K86" i="1"/>
  <c r="K78" i="1"/>
  <c r="K70" i="1"/>
  <c r="K62" i="1"/>
  <c r="K54" i="1"/>
  <c r="K46" i="1"/>
  <c r="K38" i="1"/>
  <c r="K30" i="1"/>
  <c r="K22" i="1"/>
  <c r="K14" i="1"/>
  <c r="K6" i="1"/>
  <c r="C2" i="2" s="1" a="1"/>
  <c r="C2" i="2" l="1"/>
  <c r="E9" i="2"/>
  <c r="E17" i="2"/>
  <c r="E25" i="2"/>
  <c r="E33" i="2"/>
  <c r="E41" i="2"/>
  <c r="E49" i="2"/>
  <c r="E10" i="2"/>
  <c r="E18" i="2"/>
  <c r="E26" i="2"/>
  <c r="E34" i="2"/>
  <c r="E42" i="2"/>
  <c r="E50" i="2"/>
  <c r="E3" i="2"/>
  <c r="E11" i="2"/>
  <c r="E19" i="2"/>
  <c r="E27" i="2"/>
  <c r="E35" i="2"/>
  <c r="E43" i="2"/>
  <c r="E51" i="2"/>
  <c r="E4" i="2"/>
  <c r="E12" i="2"/>
  <c r="E20" i="2"/>
  <c r="E28" i="2"/>
  <c r="E36" i="2"/>
  <c r="E44" i="2"/>
  <c r="E52" i="2"/>
  <c r="E5" i="2"/>
  <c r="E13" i="2"/>
  <c r="E21" i="2"/>
  <c r="E29" i="2"/>
  <c r="E37" i="2"/>
  <c r="E45" i="2"/>
  <c r="E2" i="2"/>
  <c r="E15" i="2"/>
  <c r="E6" i="2"/>
  <c r="E14" i="2"/>
  <c r="E22" i="2"/>
  <c r="E30" i="2"/>
  <c r="E38" i="2"/>
  <c r="E46" i="2"/>
  <c r="E7" i="2"/>
  <c r="E23" i="2"/>
  <c r="E31" i="2"/>
  <c r="E39" i="2"/>
  <c r="E47" i="2"/>
  <c r="E8" i="2"/>
  <c r="E16" i="2"/>
  <c r="E24" i="2"/>
  <c r="E32" i="2"/>
  <c r="E40" i="2"/>
  <c r="E48" i="2"/>
  <c r="A2" i="2"/>
  <c r="B4" i="2"/>
  <c r="B12" i="2"/>
  <c r="B20" i="2"/>
  <c r="B28" i="2"/>
  <c r="B36" i="2"/>
  <c r="B44" i="2"/>
  <c r="B52" i="2"/>
  <c r="B5" i="2"/>
  <c r="B13" i="2"/>
  <c r="B21" i="2"/>
  <c r="B29" i="2"/>
  <c r="B37" i="2"/>
  <c r="B45" i="2"/>
  <c r="B6" i="2"/>
  <c r="B14" i="2"/>
  <c r="B22" i="2"/>
  <c r="B30" i="2"/>
  <c r="B38" i="2"/>
  <c r="B46" i="2"/>
  <c r="B9" i="2"/>
  <c r="B23" i="2"/>
  <c r="B34" i="2"/>
  <c r="B48" i="2"/>
  <c r="B10" i="2"/>
  <c r="B24" i="2"/>
  <c r="B35" i="2"/>
  <c r="B49" i="2"/>
  <c r="B11" i="2"/>
  <c r="B25" i="2"/>
  <c r="B39" i="2"/>
  <c r="B50" i="2"/>
  <c r="B3" i="2"/>
  <c r="B17" i="2"/>
  <c r="B31" i="2"/>
  <c r="B42" i="2"/>
  <c r="B7" i="2"/>
  <c r="B18" i="2"/>
  <c r="B32" i="2"/>
  <c r="B43" i="2"/>
  <c r="B8" i="2"/>
  <c r="B19" i="2"/>
  <c r="B33" i="2"/>
  <c r="B47" i="2"/>
  <c r="B15" i="2"/>
  <c r="B16" i="2"/>
  <c r="B26" i="2"/>
  <c r="B27" i="2"/>
  <c r="B40" i="2"/>
  <c r="B41" i="2"/>
  <c r="B51" i="2"/>
  <c r="B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<sst xmlns="http://schemas.openxmlformats.org/spreadsheetml/2006/main" count="1968" uniqueCount="1966">
  <si>
    <t>New York city, New York</t>
  </si>
  <si>
    <t>Los Angeles city, California</t>
  </si>
  <si>
    <t>Chicago city, Illinois</t>
  </si>
  <si>
    <t>Houston city, Texas</t>
  </si>
  <si>
    <t>Phoenix city, Arizona</t>
  </si>
  <si>
    <t>Philadelphia city, Pennsylvania</t>
  </si>
  <si>
    <t>San Antonio city, Texas</t>
  </si>
  <si>
    <t>San Diego city, California</t>
  </si>
  <si>
    <t>Dallas city, Texas</t>
  </si>
  <si>
    <t>Jacksonville city, Florida</t>
  </si>
  <si>
    <t>Fort Worth city, Texas</t>
  </si>
  <si>
    <t>San Jose city, California</t>
  </si>
  <si>
    <t>Austin city, Texas</t>
  </si>
  <si>
    <t>Charlotte city, North Carolina</t>
  </si>
  <si>
    <t>Columbus city, Ohio</t>
  </si>
  <si>
    <t>Indianapolis city (balance), Indiana</t>
  </si>
  <si>
    <t>San Francisco city, California</t>
  </si>
  <si>
    <t>Seattle city, Washington</t>
  </si>
  <si>
    <t>Denver city, Colorado</t>
  </si>
  <si>
    <t>Oklahoma City city, Oklahoma</t>
  </si>
  <si>
    <t>Nashville-Davidson metropolitan government (balance), Tennessee</t>
  </si>
  <si>
    <t>Washington city, District of Columbia</t>
  </si>
  <si>
    <t>El Paso city, Texas</t>
  </si>
  <si>
    <t>Las Vegas city, Nevada</t>
  </si>
  <si>
    <t>Boston city, Massachusetts</t>
  </si>
  <si>
    <t>Detroit city, Michigan</t>
  </si>
  <si>
    <t>Louisville/Jefferson County metro government (balance), Kentucky</t>
  </si>
  <si>
    <t>Portland city, Oregon</t>
  </si>
  <si>
    <t>Memphis city, Tennessee</t>
  </si>
  <si>
    <t>Baltimore city, Maryland</t>
  </si>
  <si>
    <t>Milwaukee city, Wisconsin</t>
  </si>
  <si>
    <t>Albuquerque city, New Mexico</t>
  </si>
  <si>
    <t>Tucson city, Arizona</t>
  </si>
  <si>
    <t>Fresno city, California</t>
  </si>
  <si>
    <t>Sacramento city, California</t>
  </si>
  <si>
    <t>Atlanta city, Georgia</t>
  </si>
  <si>
    <t>Mesa city, Arizona</t>
  </si>
  <si>
    <t>Kansas City city, Missouri</t>
  </si>
  <si>
    <t>Raleigh city, North Carolina</t>
  </si>
  <si>
    <t>Colorado Springs city, Colorado</t>
  </si>
  <si>
    <t>Omaha city, Nebraska</t>
  </si>
  <si>
    <t>Miami city, Florida</t>
  </si>
  <si>
    <t>Virginia Beach city, Virginia</t>
  </si>
  <si>
    <t>Long Beach city, California</t>
  </si>
  <si>
    <t>Oakland city, California</t>
  </si>
  <si>
    <t>Minneapolis city, Minnesota</t>
  </si>
  <si>
    <t>Bakersfield city, California</t>
  </si>
  <si>
    <t>Tulsa city, Oklahoma</t>
  </si>
  <si>
    <t>Tampa city, Florida</t>
  </si>
  <si>
    <t>Arlington city, Texas</t>
  </si>
  <si>
    <t>Aurora city, Colorado</t>
  </si>
  <si>
    <t>Wichita city, Kansas</t>
  </si>
  <si>
    <t>Cleveland city, Ohio</t>
  </si>
  <si>
    <t>New Orleans city, Louisiana</t>
  </si>
  <si>
    <t>Henderson city, Nevada</t>
  </si>
  <si>
    <t>Urban Honolulu CDP, Hawaii</t>
  </si>
  <si>
    <t>Anaheim city, California</t>
  </si>
  <si>
    <t>Orlando city, Florida</t>
  </si>
  <si>
    <t>Lexington-Fayette urban county, Kentucky</t>
  </si>
  <si>
    <t>Stockton city, California</t>
  </si>
  <si>
    <t>Riverside city, California</t>
  </si>
  <si>
    <t>Irvine city, California</t>
  </si>
  <si>
    <t>Corpus Christi city, Texas</t>
  </si>
  <si>
    <t>Newark city, New Jersey</t>
  </si>
  <si>
    <t>Santa Ana city, California</t>
  </si>
  <si>
    <t>Cincinnati city, Ohio</t>
  </si>
  <si>
    <t>Pittsburgh city, Pennsylvania</t>
  </si>
  <si>
    <t>St. Paul city, Minnesota</t>
  </si>
  <si>
    <t>Greensboro city, North Carolina</t>
  </si>
  <si>
    <t>Jersey City city, New Jersey</t>
  </si>
  <si>
    <t>Durham city, North Carolina</t>
  </si>
  <si>
    <t>Lincoln city, Nebraska</t>
  </si>
  <si>
    <t>North Las Vegas city, Nevada</t>
  </si>
  <si>
    <t>Plano city, Texas</t>
  </si>
  <si>
    <t>Anchorage municipality, Alaska</t>
  </si>
  <si>
    <t>Gilbert town, Arizona</t>
  </si>
  <si>
    <t>Madison city, Wisconsin</t>
  </si>
  <si>
    <t>Reno city, Nevada</t>
  </si>
  <si>
    <t>Chandler city, Arizona</t>
  </si>
  <si>
    <t>St. Louis city, Missouri</t>
  </si>
  <si>
    <t>Chula Vista city, California</t>
  </si>
  <si>
    <t>Buffalo city, New York</t>
  </si>
  <si>
    <t>Fort Wayne city, Indiana</t>
  </si>
  <si>
    <t>Lubbock city, Texas</t>
  </si>
  <si>
    <t>St. Petersburg city, Florida</t>
  </si>
  <si>
    <t>Toledo city, Ohio</t>
  </si>
  <si>
    <t>Laredo city, Texas</t>
  </si>
  <si>
    <t>Port St. Lucie city, Florida</t>
  </si>
  <si>
    <t>Glendale city, Arizona</t>
  </si>
  <si>
    <t>Irving city, Texas</t>
  </si>
  <si>
    <t>Winston-Salem city, North Carolina</t>
  </si>
  <si>
    <t>Chesapeake city, Virginia</t>
  </si>
  <si>
    <t>Garland city, Texas</t>
  </si>
  <si>
    <t>Scottsdale city, Arizona</t>
  </si>
  <si>
    <t>Boise City city, Idaho</t>
  </si>
  <si>
    <t>Hialeah city, Florida</t>
  </si>
  <si>
    <t>Frisco city, Texas</t>
  </si>
  <si>
    <t>Richmond city, Virginia</t>
  </si>
  <si>
    <t>Cape Coral city, Florida</t>
  </si>
  <si>
    <t>Norfolk city, Virginia</t>
  </si>
  <si>
    <t>Spokane city, Washington</t>
  </si>
  <si>
    <t>Huntsville city, Alabama</t>
  </si>
  <si>
    <t>Santa Clarita city, California</t>
  </si>
  <si>
    <t>Tacoma city, Washington</t>
  </si>
  <si>
    <t>Fremont city, California</t>
  </si>
  <si>
    <t>McKinney city, Texas</t>
  </si>
  <si>
    <t>San Bernardino city, California</t>
  </si>
  <si>
    <t>Baton Rouge city, Louisiana</t>
  </si>
  <si>
    <t>Modesto city, California</t>
  </si>
  <si>
    <t>Fontana city, California</t>
  </si>
  <si>
    <t>Salt Lake City city, Utah</t>
  </si>
  <si>
    <t>Moreno Valley city, California</t>
  </si>
  <si>
    <t>Des Moines city, Iowa</t>
  </si>
  <si>
    <t>Worcester city, Massachusetts</t>
  </si>
  <si>
    <t>Yonkers city, New York</t>
  </si>
  <si>
    <t>Fayetteville city, North Carolina</t>
  </si>
  <si>
    <t>Sioux Falls city, South Dakota</t>
  </si>
  <si>
    <t>Grand Prairie city, Texas</t>
  </si>
  <si>
    <t>Rochester city, New York</t>
  </si>
  <si>
    <t>Tallahassee city, Florida</t>
  </si>
  <si>
    <t>Little Rock city, Arkansas</t>
  </si>
  <si>
    <t>Amarillo city, Texas</t>
  </si>
  <si>
    <t>Overland Park city, Kansas</t>
  </si>
  <si>
    <t>Columbus city, Georgia</t>
  </si>
  <si>
    <t>Augusta-Richmond County consolidated government (balance), Georgia</t>
  </si>
  <si>
    <t>Mobile city, Alabama</t>
  </si>
  <si>
    <t>Oxnard city, California</t>
  </si>
  <si>
    <t>Grand Rapids city, Michigan</t>
  </si>
  <si>
    <t>Peoria city, Arizona</t>
  </si>
  <si>
    <t>Vancouver city, Washington</t>
  </si>
  <si>
    <t>Knoxville city, Tennessee</t>
  </si>
  <si>
    <t>Birmingham city, Alabama</t>
  </si>
  <si>
    <t>Montgomery city, Alabama</t>
  </si>
  <si>
    <t>Providence city, Rhode Island</t>
  </si>
  <si>
    <t>Huntington Beach city, California</t>
  </si>
  <si>
    <t>Brownsville city, Texas</t>
  </si>
  <si>
    <t>Chattanooga city, Tennessee</t>
  </si>
  <si>
    <t>Fort Lauderdale city, Florida</t>
  </si>
  <si>
    <t>Tempe city, Arizona</t>
  </si>
  <si>
    <t>Akron city, Ohio</t>
  </si>
  <si>
    <t>Glendale city, California</t>
  </si>
  <si>
    <t>Clarksville city, Tennessee</t>
  </si>
  <si>
    <t>Ontario city, California</t>
  </si>
  <si>
    <t>Newport News city, Virginia</t>
  </si>
  <si>
    <t>Elk Grove city, California</t>
  </si>
  <si>
    <t>Cary town, North Carolina</t>
  </si>
  <si>
    <t>Aurora city, Illinois</t>
  </si>
  <si>
    <t>Salem city, Oregon</t>
  </si>
  <si>
    <t>Pembroke Pines city, Florida</t>
  </si>
  <si>
    <t>Eugene city, Oregon</t>
  </si>
  <si>
    <t>Santa Rosa city, California</t>
  </si>
  <si>
    <t>Rancho Cucamonga city, California</t>
  </si>
  <si>
    <t>Shreveport city, Louisiana</t>
  </si>
  <si>
    <t>Garden Grove city, California</t>
  </si>
  <si>
    <t>Oceanside city, California</t>
  </si>
  <si>
    <t>Fort Collins city, Colorado</t>
  </si>
  <si>
    <t>Springfield city, Missouri</t>
  </si>
  <si>
    <t>Murfreesboro city, Tennessee</t>
  </si>
  <si>
    <t>Surprise city, Arizona</t>
  </si>
  <si>
    <t>Lancaster city, California</t>
  </si>
  <si>
    <t>Denton city, Texas</t>
  </si>
  <si>
    <t>Roseville city, California</t>
  </si>
  <si>
    <t>Palmdale city, California</t>
  </si>
  <si>
    <t>Corona city, California</t>
  </si>
  <si>
    <t>Salinas city, California</t>
  </si>
  <si>
    <t>Killeen city, Texas</t>
  </si>
  <si>
    <t>Paterson city, New Jersey</t>
  </si>
  <si>
    <t>Alexandria city, Virginia</t>
  </si>
  <si>
    <t>Hollywood city, Florida</t>
  </si>
  <si>
    <t>Hayward city, California</t>
  </si>
  <si>
    <t>Charleston city, South Carolina</t>
  </si>
  <si>
    <t>Macon-Bibb County, Georgia</t>
  </si>
  <si>
    <t>Lakewood city, Colorado</t>
  </si>
  <si>
    <t>Sunnyvale city, California</t>
  </si>
  <si>
    <t>Kansas City city, Kansas</t>
  </si>
  <si>
    <t>Springfield city, Massachusetts</t>
  </si>
  <si>
    <t>Bellevue city, Washington</t>
  </si>
  <si>
    <t>Naperville city, Illinois</t>
  </si>
  <si>
    <t>Joliet city, Illinois</t>
  </si>
  <si>
    <t>Bridgeport city, Connecticut</t>
  </si>
  <si>
    <t>Mesquite city, Texas</t>
  </si>
  <si>
    <t>Pasadena city, Texas</t>
  </si>
  <si>
    <t>Olathe city, Kansas</t>
  </si>
  <si>
    <t>Escondido city, California</t>
  </si>
  <si>
    <t>Savannah city, Georgia</t>
  </si>
  <si>
    <t>McAllen city, Texas</t>
  </si>
  <si>
    <t>Gainesville city, Florida</t>
  </si>
  <si>
    <t>Pomona city, California</t>
  </si>
  <si>
    <t>Rockford city, Illinois</t>
  </si>
  <si>
    <t>Thornton city, Colorado</t>
  </si>
  <si>
    <t>Waco city, Texas</t>
  </si>
  <si>
    <t>Visalia city, California</t>
  </si>
  <si>
    <t>Syracuse city, New York</t>
  </si>
  <si>
    <t>Columbia city, South Carolina</t>
  </si>
  <si>
    <t>Midland city, Texas</t>
  </si>
  <si>
    <t>Miramar city, Florida</t>
  </si>
  <si>
    <t>Palm Bay city, Florida</t>
  </si>
  <si>
    <t>Jackson city, Mississippi</t>
  </si>
  <si>
    <t>Coral Springs city, Florida</t>
  </si>
  <si>
    <t>Victorville city, California</t>
  </si>
  <si>
    <t>Elizabeth city, New Jersey</t>
  </si>
  <si>
    <t>Fullerton city, California</t>
  </si>
  <si>
    <t>Meridian city, Idaho</t>
  </si>
  <si>
    <t>Torrance city, California</t>
  </si>
  <si>
    <t>Stamford city, Connecticut</t>
  </si>
  <si>
    <t>West Valley City city, Utah</t>
  </si>
  <si>
    <t>Orange city, California</t>
  </si>
  <si>
    <t>Cedar Rapids city, Iowa</t>
  </si>
  <si>
    <t>Warren city, Michigan</t>
  </si>
  <si>
    <t>Hampton city, Virginia</t>
  </si>
  <si>
    <t>New Haven city, Connecticut</t>
  </si>
  <si>
    <t>Pasadena city, California</t>
  </si>
  <si>
    <t>Kent city, Washington</t>
  </si>
  <si>
    <t>Dayton city, Ohio</t>
  </si>
  <si>
    <t>Fargo city, North Dakota</t>
  </si>
  <si>
    <t>Lewisville city, Texas</t>
  </si>
  <si>
    <t>Carrollton city, Texas</t>
  </si>
  <si>
    <t>Round Rock city, Texas</t>
  </si>
  <si>
    <t>Sterling Heights city, Michigan</t>
  </si>
  <si>
    <t>Santa Clara city, California</t>
  </si>
  <si>
    <t>Norman city, Oklahoma</t>
  </si>
  <si>
    <t>Columbia city, Missouri</t>
  </si>
  <si>
    <t>Abilene city, Texas</t>
  </si>
  <si>
    <t>Pearland city, Texas</t>
  </si>
  <si>
    <t>Athens-Clarke County unified government (balance), Georgia</t>
  </si>
  <si>
    <t>College Station city, Texas</t>
  </si>
  <si>
    <t>Clovis city, California</t>
  </si>
  <si>
    <t>West Palm Beach city, Florida</t>
  </si>
  <si>
    <t>Allentown city, Pennsylvania</t>
  </si>
  <si>
    <t>North Charleston city, South Carolina</t>
  </si>
  <si>
    <t>Simi Valley city, California</t>
  </si>
  <si>
    <t>Topeka city, Kansas</t>
  </si>
  <si>
    <t>Wilmington city, North Carolina</t>
  </si>
  <si>
    <t>Lakeland city, Florida</t>
  </si>
  <si>
    <t>Thousand Oaks city, California</t>
  </si>
  <si>
    <t>Concord city, California</t>
  </si>
  <si>
    <t>Rochester city, Minnesota</t>
  </si>
  <si>
    <t>Vallejo city, California</t>
  </si>
  <si>
    <t>Ann Arbor city, Michigan</t>
  </si>
  <si>
    <t>Broken Arrow city, Oklahoma</t>
  </si>
  <si>
    <t>Fairfield city, California</t>
  </si>
  <si>
    <t>Lafayette city, Louisiana</t>
  </si>
  <si>
    <t>Hartford city, Connecticut</t>
  </si>
  <si>
    <t>Arvada city, Colorado</t>
  </si>
  <si>
    <t>Berkeley city, California</t>
  </si>
  <si>
    <t>Independence city, Missouri</t>
  </si>
  <si>
    <t>Billings city, Montana</t>
  </si>
  <si>
    <t>Cambridge city, Massachusetts</t>
  </si>
  <si>
    <t>Lowell city, Massachusetts</t>
  </si>
  <si>
    <t>Odessa city, Texas</t>
  </si>
  <si>
    <t>High Point city, North Carolina</t>
  </si>
  <si>
    <t>League City city, Texas</t>
  </si>
  <si>
    <t>Antioch city, California</t>
  </si>
  <si>
    <t>Richardson city, Texas</t>
  </si>
  <si>
    <t>Goodyear city, Arizona</t>
  </si>
  <si>
    <t>Pompano Beach city, Florida</t>
  </si>
  <si>
    <t>Nampa city, Idaho</t>
  </si>
  <si>
    <t>Menifee city, California</t>
  </si>
  <si>
    <t>Las Cruces city, New Mexico</t>
  </si>
  <si>
    <t>Clearwater city, Florida</t>
  </si>
  <si>
    <t>West Jordan city, Utah</t>
  </si>
  <si>
    <t>New Braunfels city, Texas</t>
  </si>
  <si>
    <t>Manchester city, New Hampshire</t>
  </si>
  <si>
    <t>Miami Gardens city, Florida</t>
  </si>
  <si>
    <t>Waterbury city, Connecticut</t>
  </si>
  <si>
    <t>Provo city, Utah</t>
  </si>
  <si>
    <t>Evansville city, Indiana</t>
  </si>
  <si>
    <t>Richmond city, California</t>
  </si>
  <si>
    <t>Westminster city, Colorado</t>
  </si>
  <si>
    <t>Elgin city, Illinois</t>
  </si>
  <si>
    <t>Conroe city, Texas</t>
  </si>
  <si>
    <t>Greeley city, Colorado</t>
  </si>
  <si>
    <t>Lansing city, Michigan</t>
  </si>
  <si>
    <t>Buckeye city, Arizona</t>
  </si>
  <si>
    <t>Tuscaloosa city, Alabama</t>
  </si>
  <si>
    <t>Allen city, Texas</t>
  </si>
  <si>
    <t>Carlsbad city, California</t>
  </si>
  <si>
    <t>Everett city, Washington</t>
  </si>
  <si>
    <t>Springfield city, Illinois</t>
  </si>
  <si>
    <t>Beaumont city, Texas</t>
  </si>
  <si>
    <t>Murrieta city, California</t>
  </si>
  <si>
    <t>Rio Rancho city, New Mexico</t>
  </si>
  <si>
    <t>Temecula city, California</t>
  </si>
  <si>
    <t>Concord city, North Carolina</t>
  </si>
  <si>
    <t>Tyler city, Texas</t>
  </si>
  <si>
    <t>Davie town, Florida</t>
  </si>
  <si>
    <t>South Fulton city, Georgia</t>
  </si>
  <si>
    <t>Peoria city, Illinois</t>
  </si>
  <si>
    <t>Sparks city, Nevada</t>
  </si>
  <si>
    <t>Gresham city, Oregon</t>
  </si>
  <si>
    <t>Santa Maria city, California</t>
  </si>
  <si>
    <t>Pueblo city, Colorado</t>
  </si>
  <si>
    <t>Hillsboro city, Oregon</t>
  </si>
  <si>
    <t>Sugar Land city, Texas</t>
  </si>
  <si>
    <t>San Buenaventura (Ventura) city, California</t>
  </si>
  <si>
    <t>Downey city, California</t>
  </si>
  <si>
    <t>Costa Mesa city, California</t>
  </si>
  <si>
    <t>Centennial city, Colorado</t>
  </si>
  <si>
    <t>Edinburg city, Texas</t>
  </si>
  <si>
    <t>Spokane Valley city, Washington</t>
  </si>
  <si>
    <t>Jurupa Valley city, California</t>
  </si>
  <si>
    <t>Bend city, Oregon</t>
  </si>
  <si>
    <t>West Covina city, California</t>
  </si>
  <si>
    <t>Boulder city, Colorado</t>
  </si>
  <si>
    <t>Palm Coast city, Florida</t>
  </si>
  <si>
    <t>Lee's Summit city, Missouri</t>
  </si>
  <si>
    <t>Dearborn city, Michigan</t>
  </si>
  <si>
    <t>Green Bay city, Wisconsin</t>
  </si>
  <si>
    <t>St. George city, Utah</t>
  </si>
  <si>
    <t>Brockton city, Massachusetts</t>
  </si>
  <si>
    <t>Renton city, Washington</t>
  </si>
  <si>
    <t>Sandy Springs city, Georgia</t>
  </si>
  <si>
    <t>Rialto city, California</t>
  </si>
  <si>
    <t>El Monte city, California</t>
  </si>
  <si>
    <t>Vacaville city, California</t>
  </si>
  <si>
    <t>Fishers city, Indiana</t>
  </si>
  <si>
    <t>South Bend city, Indiana</t>
  </si>
  <si>
    <t>Carmel city, Indiana</t>
  </si>
  <si>
    <t>Yuma city, Arizona</t>
  </si>
  <si>
    <t>Burbank city, California</t>
  </si>
  <si>
    <t>Lynn city, Massachusetts</t>
  </si>
  <si>
    <t>Quincy city, Massachusetts</t>
  </si>
  <si>
    <t>El Cajon city, California</t>
  </si>
  <si>
    <t>Fayetteville city, Arkansas</t>
  </si>
  <si>
    <t>Suffolk city, Virginia</t>
  </si>
  <si>
    <t>San Mateo city, California</t>
  </si>
  <si>
    <t>Chico city, California</t>
  </si>
  <si>
    <t>Inglewood city, California</t>
  </si>
  <si>
    <t>Wichita Falls city, Texas</t>
  </si>
  <si>
    <t>Boca Raton city, Florida</t>
  </si>
  <si>
    <t>Hesperia city, California</t>
  </si>
  <si>
    <t>Daly City city, California</t>
  </si>
  <si>
    <t>Georgetown city, Texas</t>
  </si>
  <si>
    <t>New Bedford city, Massachusetts</t>
  </si>
  <si>
    <t>Albany city, New York</t>
  </si>
  <si>
    <t>Davenport city, Iowa</t>
  </si>
  <si>
    <t>Plantation city, Florida</t>
  </si>
  <si>
    <t>Deltona city, Florida</t>
  </si>
  <si>
    <t>Federal Way city, Washington</t>
  </si>
  <si>
    <t>San Angelo city, Texas</t>
  </si>
  <si>
    <t>Tracy city, California</t>
  </si>
  <si>
    <t>Sunrise city, Florida</t>
  </si>
  <si>
    <t>Fort Myers city, Florida</t>
  </si>
  <si>
    <t>Longmont city, Colorado</t>
  </si>
  <si>
    <t>Kenosha city, Wisconsin</t>
  </si>
  <si>
    <t>Vista city, California</t>
  </si>
  <si>
    <t>Edmond city, Oklahoma</t>
  </si>
  <si>
    <t>Beaverton city, Oregon</t>
  </si>
  <si>
    <t>Norwalk city, California</t>
  </si>
  <si>
    <t>Roanoke city, Virginia</t>
  </si>
  <si>
    <t>Yakima city, Washington</t>
  </si>
  <si>
    <t>Lawrence city, Kansas</t>
  </si>
  <si>
    <t>Orem city, Utah</t>
  </si>
  <si>
    <t>San Marcos city, California</t>
  </si>
  <si>
    <t>Avondale city, Arizona</t>
  </si>
  <si>
    <t>Portsmouth city, Virginia</t>
  </si>
  <si>
    <t>Temple city, Texas</t>
  </si>
  <si>
    <t>Merced city, California</t>
  </si>
  <si>
    <t>Reading city, Pennsylvania</t>
  </si>
  <si>
    <t>Bellingham city, Washington</t>
  </si>
  <si>
    <t>Mount Pleasant town, South Carolina</t>
  </si>
  <si>
    <t>Kirkland city, Washington</t>
  </si>
  <si>
    <t>O'Fallon city, Missouri</t>
  </si>
  <si>
    <t>Greenville city, North Carolina</t>
  </si>
  <si>
    <t>Asheville city, North Carolina</t>
  </si>
  <si>
    <t>Fall River city, Massachusetts</t>
  </si>
  <si>
    <t>Manteca city, California</t>
  </si>
  <si>
    <t>Indio city, California</t>
  </si>
  <si>
    <t>Chino city, California</t>
  </si>
  <si>
    <t>Norwalk city, Connecticut</t>
  </si>
  <si>
    <t>Redding city, California</t>
  </si>
  <si>
    <t>Lehi city, Utah</t>
  </si>
  <si>
    <t>Livonia city, Michigan</t>
  </si>
  <si>
    <t>Hoover city, Alabama</t>
  </si>
  <si>
    <t>Erie city, Pennsylvania</t>
  </si>
  <si>
    <t>Hemet city, California</t>
  </si>
  <si>
    <t>North Port city, Florida</t>
  </si>
  <si>
    <t>Sandy city, Utah</t>
  </si>
  <si>
    <t>Roswell city, Georgia</t>
  </si>
  <si>
    <t>Champaign city, Illinois</t>
  </si>
  <si>
    <t>Nashua city, New Hampshire</t>
  </si>
  <si>
    <t>Mission Viejo city, California</t>
  </si>
  <si>
    <t>Bryan city, Texas</t>
  </si>
  <si>
    <t>Carson city, California</t>
  </si>
  <si>
    <t>Trenton city, New Jersey</t>
  </si>
  <si>
    <t>Compton city, California</t>
  </si>
  <si>
    <t>South Gate city, California</t>
  </si>
  <si>
    <t>Santa Monica city, California</t>
  </si>
  <si>
    <t>Newton city, Massachusetts</t>
  </si>
  <si>
    <t>Santa Fe city, New Mexico</t>
  </si>
  <si>
    <t>Fort Smith city, Arkansas</t>
  </si>
  <si>
    <t>Deerfield Beach city, Florida</t>
  </si>
  <si>
    <t>Clifton city, New Jersey</t>
  </si>
  <si>
    <t>Lawton city, Oklahoma</t>
  </si>
  <si>
    <t>Westminster city, California</t>
  </si>
  <si>
    <t>Frederick city, Maryland</t>
  </si>
  <si>
    <t>Springdale city, Arkansas</t>
  </si>
  <si>
    <t>Lawrence city, Massachusetts</t>
  </si>
  <si>
    <t>Troy city, Michigan</t>
  </si>
  <si>
    <t>Franklin city, Tennessee</t>
  </si>
  <si>
    <t>Danbury city, Connecticut</t>
  </si>
  <si>
    <t>Ogden city, Utah</t>
  </si>
  <si>
    <t>Mission city, Texas</t>
  </si>
  <si>
    <t>Waukegan city, Illinois</t>
  </si>
  <si>
    <t>Bloomington city, Minnesota</t>
  </si>
  <si>
    <t>Folsom city, California</t>
  </si>
  <si>
    <t>Duluth city, Minnesota</t>
  </si>
  <si>
    <t>Melbourne city, Florida</t>
  </si>
  <si>
    <t>Leander city, Texas</t>
  </si>
  <si>
    <t>Mountain View city, California</t>
  </si>
  <si>
    <t>Santa Barbara city, California</t>
  </si>
  <si>
    <t>Lake Forest city, California</t>
  </si>
  <si>
    <t>Citrus Heights city, California</t>
  </si>
  <si>
    <t>Sioux City city, Iowa</t>
  </si>
  <si>
    <t>Kennewick city, Washington</t>
  </si>
  <si>
    <t>San Leandro city, California</t>
  </si>
  <si>
    <t>Medford city, Oregon</t>
  </si>
  <si>
    <t>Warner Robins city, Georgia</t>
  </si>
  <si>
    <t>South Jordan city, Utah</t>
  </si>
  <si>
    <t>Daytona Beach city, Florida</t>
  </si>
  <si>
    <t>Baytown city, Texas</t>
  </si>
  <si>
    <t>San Ramon city, California</t>
  </si>
  <si>
    <t>Homestead city, Florida</t>
  </si>
  <si>
    <t>Whittier city, California</t>
  </si>
  <si>
    <t>Gastonia city, North Carolina</t>
  </si>
  <si>
    <t>Auburn city, Washington</t>
  </si>
  <si>
    <t>New Rochelle city, New York</t>
  </si>
  <si>
    <t>Livermore city, California</t>
  </si>
  <si>
    <t>Kissimmee city, Florida</t>
  </si>
  <si>
    <t>Cranston city, Rhode Island</t>
  </si>
  <si>
    <t>Layton city, Utah</t>
  </si>
  <si>
    <t>Farmington Hills city, Michigan</t>
  </si>
  <si>
    <t>Rancho Cordova city, California</t>
  </si>
  <si>
    <t>Queen Creek town, Arizona</t>
  </si>
  <si>
    <t>Auburn city, Alabama</t>
  </si>
  <si>
    <t>Longview city, Texas</t>
  </si>
  <si>
    <t>Hawthorne city, California</t>
  </si>
  <si>
    <t>Doral city, Florida</t>
  </si>
  <si>
    <t>Warwick city, Rhode Island</t>
  </si>
  <si>
    <t>Miami Beach city, Florida</t>
  </si>
  <si>
    <t>Castle Rock town, Colorado</t>
  </si>
  <si>
    <t>Boynton Beach city, Florida</t>
  </si>
  <si>
    <t>Perris city, California</t>
  </si>
  <si>
    <t>Redwood City city, California</t>
  </si>
  <si>
    <t>Newport Beach city, California</t>
  </si>
  <si>
    <t>Brooklyn Park city, Minnesota</t>
  </si>
  <si>
    <t>Westland city, Michigan</t>
  </si>
  <si>
    <t>Buena Park city, California</t>
  </si>
  <si>
    <t>Jonesboro city, Arkansas</t>
  </si>
  <si>
    <t>Largo city, Florida</t>
  </si>
  <si>
    <t>Redmond city, Washington</t>
  </si>
  <si>
    <t>Somerville city, Massachusetts</t>
  </si>
  <si>
    <t>Cicero town, Illinois</t>
  </si>
  <si>
    <t>Pasco city, Washington</t>
  </si>
  <si>
    <t>Johns Creek city, Georgia</t>
  </si>
  <si>
    <t>Lake Charles city, Louisiana</t>
  </si>
  <si>
    <t>Pharr city, Texas</t>
  </si>
  <si>
    <t>Loveland city, Colorado</t>
  </si>
  <si>
    <t>Mansfield city, Texas</t>
  </si>
  <si>
    <t>Woodbury city, Minnesota</t>
  </si>
  <si>
    <t>Lynchburg city, Virginia</t>
  </si>
  <si>
    <t>Alhambra city, California</t>
  </si>
  <si>
    <t>Flower Mound town, Texas</t>
  </si>
  <si>
    <t>Bloomington city, Indiana</t>
  </si>
  <si>
    <t>Rapid City city, South Dakota</t>
  </si>
  <si>
    <t>Milpitas city, California</t>
  </si>
  <si>
    <t>Flint city, Michigan</t>
  </si>
  <si>
    <t>Upland city, California</t>
  </si>
  <si>
    <t>Bethlehem city, Pennsylvania</t>
  </si>
  <si>
    <t>Parma city, Ohio</t>
  </si>
  <si>
    <t>Bloomington city, Illinois</t>
  </si>
  <si>
    <t>Bowling Green city, Kentucky</t>
  </si>
  <si>
    <t>Tustin city, California</t>
  </si>
  <si>
    <t>Alameda city, California</t>
  </si>
  <si>
    <t>Missouri City city, Texas</t>
  </si>
  <si>
    <t>Wyoming city, Michigan</t>
  </si>
  <si>
    <t>Plymouth city, Minnesota</t>
  </si>
  <si>
    <t>Lakewood city, California</t>
  </si>
  <si>
    <t>Cedar Park city, Texas</t>
  </si>
  <si>
    <t>Rochester Hills city, Michigan</t>
  </si>
  <si>
    <t>Broomfield city, Colorado</t>
  </si>
  <si>
    <t>Mableton city, Georgia</t>
  </si>
  <si>
    <t>Missoula city, Montana</t>
  </si>
  <si>
    <t>Racine city, Wisconsin</t>
  </si>
  <si>
    <t>Lakeville city, Minnesota</t>
  </si>
  <si>
    <t>Bismarck city, North Dakota</t>
  </si>
  <si>
    <t>Flagstaff city, Arizona</t>
  </si>
  <si>
    <t>Chino Hills city, California</t>
  </si>
  <si>
    <t>Pittsburg city, California</t>
  </si>
  <si>
    <t>Schaumburg village, Illinois</t>
  </si>
  <si>
    <t>Pawtucket city, Rhode Island</t>
  </si>
  <si>
    <t>Napa city, California</t>
  </si>
  <si>
    <t>Southfield city, Michigan</t>
  </si>
  <si>
    <t>Ankeny city, Iowa</t>
  </si>
  <si>
    <t>Iowa City city, Iowa</t>
  </si>
  <si>
    <t>Maricopa city, Arizona</t>
  </si>
  <si>
    <t>Lauderhill city, Florida</t>
  </si>
  <si>
    <t>Marysville city, Washington</t>
  </si>
  <si>
    <t>Hammond city, Indiana</t>
  </si>
  <si>
    <t>Evanston city, Illinois</t>
  </si>
  <si>
    <t>Apex town, North Carolina</t>
  </si>
  <si>
    <t>Scranton city, Pennsylvania</t>
  </si>
  <si>
    <t>New Britain city, Connecticut</t>
  </si>
  <si>
    <t>Rock Hill city, South Carolina</t>
  </si>
  <si>
    <t>Bellflower city, California</t>
  </si>
  <si>
    <t>Pleasanton city, California</t>
  </si>
  <si>
    <t>Rogers city, Arkansas</t>
  </si>
  <si>
    <t>Arlington Heights village, Illinois</t>
  </si>
  <si>
    <t>Appleton city, Wisconsin</t>
  </si>
  <si>
    <t>Noblesville city, Indiana</t>
  </si>
  <si>
    <t>Blaine city, Minnesota</t>
  </si>
  <si>
    <t>Tamarac city, Florida</t>
  </si>
  <si>
    <t>Rocklin city, California</t>
  </si>
  <si>
    <t>Apple Valley town, California</t>
  </si>
  <si>
    <t>Bolingbrook village, Illinois</t>
  </si>
  <si>
    <t>Gulfport city, Mississippi</t>
  </si>
  <si>
    <t>Bayonne city, New Jersey</t>
  </si>
  <si>
    <t>Greenville city, South Carolina</t>
  </si>
  <si>
    <t>San Marcos city, Texas</t>
  </si>
  <si>
    <t>Redlands city, California</t>
  </si>
  <si>
    <t>West Des Moines city, Iowa</t>
  </si>
  <si>
    <t>Johnson City city, Tennessee</t>
  </si>
  <si>
    <t>Lake Elsinore city, California</t>
  </si>
  <si>
    <t>Framingham city, Massachusetts</t>
  </si>
  <si>
    <t>Kalamazoo city, Michigan</t>
  </si>
  <si>
    <t>Wilmington city, Delaware</t>
  </si>
  <si>
    <t>Caldwell city, Idaho</t>
  </si>
  <si>
    <t>Turlock city, California</t>
  </si>
  <si>
    <t>Maple Grove city, Minnesota</t>
  </si>
  <si>
    <t>Tulare city, California</t>
  </si>
  <si>
    <t>St. Charles city, Missouri</t>
  </si>
  <si>
    <t>Eau Claire city, Wisconsin</t>
  </si>
  <si>
    <t>Harlingen city, Texas</t>
  </si>
  <si>
    <t>St. Cloud city, Minnesota</t>
  </si>
  <si>
    <t>Mount Vernon city, New York</t>
  </si>
  <si>
    <t>East Orange city, New Jersey</t>
  </si>
  <si>
    <t>Lafayette city, Indiana</t>
  </si>
  <si>
    <t>Camden city, New Jersey</t>
  </si>
  <si>
    <t>Dothan city, Alabama</t>
  </si>
  <si>
    <t>Waukesha city, Wisconsin</t>
  </si>
  <si>
    <t>North Richland Hills city, Texas</t>
  </si>
  <si>
    <t>St. Joseph city, Missouri</t>
  </si>
  <si>
    <t>St. Cloud city, Florida</t>
  </si>
  <si>
    <t>Jacksonville city, North Carolina</t>
  </si>
  <si>
    <t>Walnut Creek city, California</t>
  </si>
  <si>
    <t>Eastvale city, California</t>
  </si>
  <si>
    <t>Passaic city, New Jersey</t>
  </si>
  <si>
    <t>Conway city, Arkansas</t>
  </si>
  <si>
    <t>Gaithersburg city, Maryland</t>
  </si>
  <si>
    <t>Weston city, Florida</t>
  </si>
  <si>
    <t>Grand Junction city, Colorado</t>
  </si>
  <si>
    <t>Dublin city, California</t>
  </si>
  <si>
    <t>Ocala city, Florida</t>
  </si>
  <si>
    <t>Commerce City city, Colorado</t>
  </si>
  <si>
    <t>Delray Beach city, Florida</t>
  </si>
  <si>
    <t>Camarillo city, California</t>
  </si>
  <si>
    <t>Shawnee city, Kansas</t>
  </si>
  <si>
    <t>Portland city, Maine</t>
  </si>
  <si>
    <t>Idaho Falls city, Idaho</t>
  </si>
  <si>
    <t>Schenectady city, New York</t>
  </si>
  <si>
    <t>Jackson city, Tennessee</t>
  </si>
  <si>
    <t>Baldwin Park city, California</t>
  </si>
  <si>
    <t>Canton city, Ohio</t>
  </si>
  <si>
    <t>Yuba City city, California</t>
  </si>
  <si>
    <t>Madera city, California</t>
  </si>
  <si>
    <t>Ames city, Iowa</t>
  </si>
  <si>
    <t>Casa Grande city, Arizona</t>
  </si>
  <si>
    <t>Decatur city, Illinois</t>
  </si>
  <si>
    <t>Lodi city, California</t>
  </si>
  <si>
    <t>Rockville city, Maryland</t>
  </si>
  <si>
    <t>Haverhill city, Massachusetts</t>
  </si>
  <si>
    <t>Greenwood city, Indiana</t>
  </si>
  <si>
    <t>Rowlett city, Texas</t>
  </si>
  <si>
    <t>Redondo Beach city, California</t>
  </si>
  <si>
    <t>Novi city, Michigan</t>
  </si>
  <si>
    <t>Palo Alto city, California</t>
  </si>
  <si>
    <t>Gary city, Indiana</t>
  </si>
  <si>
    <t>Waterloo city, Iowa</t>
  </si>
  <si>
    <t>Alpharetta city, Georgia</t>
  </si>
  <si>
    <t>Oshkosh city, Wisconsin</t>
  </si>
  <si>
    <t>Eagan city, Minnesota</t>
  </si>
  <si>
    <t>Davis city, California</t>
  </si>
  <si>
    <t>Huntersville town, North Carolina</t>
  </si>
  <si>
    <t>Sanford city, Florida</t>
  </si>
  <si>
    <t>Union City city, New Jersey</t>
  </si>
  <si>
    <t>Pflugerville city, Texas</t>
  </si>
  <si>
    <t>Albany city, Georgia</t>
  </si>
  <si>
    <t>Malden city, Massachusetts</t>
  </si>
  <si>
    <t>Port Orange city, Florida</t>
  </si>
  <si>
    <t>Yorba Linda city, California</t>
  </si>
  <si>
    <t>Sammamish city, Washington</t>
  </si>
  <si>
    <t>Janesville city, Wisconsin</t>
  </si>
  <si>
    <t>Brentwood city, California</t>
  </si>
  <si>
    <t>Shoreline city, Washington</t>
  </si>
  <si>
    <t>Union City city, California</t>
  </si>
  <si>
    <t>Victoria city, Texas</t>
  </si>
  <si>
    <t>Palatine village, Illinois</t>
  </si>
  <si>
    <t>Skokie village, Illinois</t>
  </si>
  <si>
    <t>Waltham city, Massachusetts</t>
  </si>
  <si>
    <t>Kyle city, Texas</t>
  </si>
  <si>
    <t>Lorain city, Ohio</t>
  </si>
  <si>
    <t>Cheyenne city, Wyoming</t>
  </si>
  <si>
    <t>Parker town, Colorado</t>
  </si>
  <si>
    <t>Muncie city, Indiana</t>
  </si>
  <si>
    <t>Burnsville city, Minnesota</t>
  </si>
  <si>
    <t>Bellevue city, Nebraska</t>
  </si>
  <si>
    <t>South San Francisco city, California</t>
  </si>
  <si>
    <t>Kenner city, Louisiana</t>
  </si>
  <si>
    <t>North Little Rock city, Arkansas</t>
  </si>
  <si>
    <t>Richland city, Washington</t>
  </si>
  <si>
    <t>Millcreek city, Utah</t>
  </si>
  <si>
    <t>Laguna Niguel city, California</t>
  </si>
  <si>
    <t>Madison city, Alabama</t>
  </si>
  <si>
    <t>Chapel Hill town, North Carolina</t>
  </si>
  <si>
    <t>Hamilton city, Ohio</t>
  </si>
  <si>
    <t>Hendersonville city, Tennessee</t>
  </si>
  <si>
    <t>Moore city, Oklahoma</t>
  </si>
  <si>
    <t>Coon Rapids city, Minnesota</t>
  </si>
  <si>
    <t>Utica city, New York</t>
  </si>
  <si>
    <t>Lynwood city, California</t>
  </si>
  <si>
    <t>Porterville city, California</t>
  </si>
  <si>
    <t>Palm Beach Gardens city, Florida</t>
  </si>
  <si>
    <t>Wellington village, Florida</t>
  </si>
  <si>
    <t>Bossier City city, Louisiana</t>
  </si>
  <si>
    <t>Marietta city, Georgia</t>
  </si>
  <si>
    <t>Westfield city, Indiana</t>
  </si>
  <si>
    <t>Jupiter town, Florida</t>
  </si>
  <si>
    <t>Woodland city, California</t>
  </si>
  <si>
    <t>Wylie city, Texas</t>
  </si>
  <si>
    <t>Eden Prairie city, Minnesota</t>
  </si>
  <si>
    <t>Apopka city, Florida</t>
  </si>
  <si>
    <t>Lakewood city, Washington</t>
  </si>
  <si>
    <t>Council Bluffs city, Iowa</t>
  </si>
  <si>
    <t>San Clemente city, California</t>
  </si>
  <si>
    <t>Santa Cruz city, California</t>
  </si>
  <si>
    <t>White Plains city, New York</t>
  </si>
  <si>
    <t>Pontiac city, Michigan</t>
  </si>
  <si>
    <t>Marana town, Arizona</t>
  </si>
  <si>
    <t>Herriman city, Utah</t>
  </si>
  <si>
    <t>North Miami city, Florida</t>
  </si>
  <si>
    <t>Bristol city, Connecticut</t>
  </si>
  <si>
    <t>Vineland city, New Jersey</t>
  </si>
  <si>
    <t>Corvallis city, Oregon</t>
  </si>
  <si>
    <t>Taunton city, Massachusetts</t>
  </si>
  <si>
    <t>Bentonville city, Arkansas</t>
  </si>
  <si>
    <t>Taylor city, Michigan</t>
  </si>
  <si>
    <t>St. Peters city, Missouri</t>
  </si>
  <si>
    <t>La Habra city, California</t>
  </si>
  <si>
    <t>Burlington city, North Carolina</t>
  </si>
  <si>
    <t>Blue Springs city, Missouri</t>
  </si>
  <si>
    <t>Little Elm city, Texas</t>
  </si>
  <si>
    <t>Springfield city, Oregon</t>
  </si>
  <si>
    <t>Encinitas city, California</t>
  </si>
  <si>
    <t>Dearborn Heights city, Michigan</t>
  </si>
  <si>
    <t>Stonecrest city, Georgia</t>
  </si>
  <si>
    <t>Meriden city, Connecticut</t>
  </si>
  <si>
    <t>La Mesa city, California</t>
  </si>
  <si>
    <t>Revere city, Massachusetts</t>
  </si>
  <si>
    <t>Owensboro city, Kentucky</t>
  </si>
  <si>
    <t>Margate city, Florida</t>
  </si>
  <si>
    <t>Montebello city, California</t>
  </si>
  <si>
    <t>Hanford city, California</t>
  </si>
  <si>
    <t>Eagle Mountain city, Utah</t>
  </si>
  <si>
    <t>Kannapolis city, North Carolina</t>
  </si>
  <si>
    <t>Gilroy city, California</t>
  </si>
  <si>
    <t>Smyrna town, Tennessee</t>
  </si>
  <si>
    <t>Weymouth Town city, Massachusetts</t>
  </si>
  <si>
    <t>Kokomo city, Indiana</t>
  </si>
  <si>
    <t>Great Falls city, Montana</t>
  </si>
  <si>
    <t>Euless city, Texas</t>
  </si>
  <si>
    <t>Winter Haven city, Florida</t>
  </si>
  <si>
    <t>San Rafael city, California</t>
  </si>
  <si>
    <t>Medford city, Massachusetts</t>
  </si>
  <si>
    <t>Grand Forks city, North Dakota</t>
  </si>
  <si>
    <t>West Allis city, Wisconsin</t>
  </si>
  <si>
    <t>Coconut Creek city, Florida</t>
  </si>
  <si>
    <t>Hempstead village, New York</t>
  </si>
  <si>
    <t>Beaumont city, California</t>
  </si>
  <si>
    <t>Lenexa city, Kansas</t>
  </si>
  <si>
    <t>Spring Hill city, Tennessee</t>
  </si>
  <si>
    <t>Petaluma city, California</t>
  </si>
  <si>
    <t>Brookhaven city, Georgia</t>
  </si>
  <si>
    <t>Pico Rivera city, California</t>
  </si>
  <si>
    <t>Hoboken city, New Jersey</t>
  </si>
  <si>
    <t>Youngstown city, Ohio</t>
  </si>
  <si>
    <t>Santee city, California</t>
  </si>
  <si>
    <t>Lake Havasu City city, Arizona</t>
  </si>
  <si>
    <t>Dubuque city, Iowa</t>
  </si>
  <si>
    <t>Gardena city, California</t>
  </si>
  <si>
    <t>Des Plaines city, Illinois</t>
  </si>
  <si>
    <t>Casper city, Wyoming</t>
  </si>
  <si>
    <t>Cupertino city, California</t>
  </si>
  <si>
    <t>Lacey city, Washington</t>
  </si>
  <si>
    <t>Terre Haute city, Indiana</t>
  </si>
  <si>
    <t>Midwest City city, Oklahoma</t>
  </si>
  <si>
    <t>National City city, California</t>
  </si>
  <si>
    <t>Lancaster city, Pennsylvania</t>
  </si>
  <si>
    <t>Bowie city, Maryland</t>
  </si>
  <si>
    <t>Royal Oak city, Michigan</t>
  </si>
  <si>
    <t>Pocatello city, Idaho</t>
  </si>
  <si>
    <t>Bradenton city, Florida</t>
  </si>
  <si>
    <t>Carson City, Nevada</t>
  </si>
  <si>
    <t>Springfield city, Ohio</t>
  </si>
  <si>
    <t>St. Clair Shores city, Michigan</t>
  </si>
  <si>
    <t>Orland Park village, Illinois</t>
  </si>
  <si>
    <t>Monterey Park city, California</t>
  </si>
  <si>
    <t>Decatur city, Alabama</t>
  </si>
  <si>
    <t>Bozeman city, Montana</t>
  </si>
  <si>
    <t>Texas City city, Texas</t>
  </si>
  <si>
    <t>Taylorsville city, Utah</t>
  </si>
  <si>
    <t>Sarasota city, Florida</t>
  </si>
  <si>
    <t>Southaven city, Mississippi</t>
  </si>
  <si>
    <t>New Brunswick city, New Jersey</t>
  </si>
  <si>
    <t>Saratoga Springs city, Utah</t>
  </si>
  <si>
    <t>Coeur d'Alene city, Idaho</t>
  </si>
  <si>
    <t>Tigard city, Oregon</t>
  </si>
  <si>
    <t>Smyrna city, Georgia</t>
  </si>
  <si>
    <t>Albany city, Oregon</t>
  </si>
  <si>
    <t>Bonita Springs city, Florida</t>
  </si>
  <si>
    <t>Kingsport city, Tennessee</t>
  </si>
  <si>
    <t>Kettering city, Ohio</t>
  </si>
  <si>
    <t>Perth Amboy city, New Jersey</t>
  </si>
  <si>
    <t>Logan city, Utah</t>
  </si>
  <si>
    <t>Wake Forest town, North Carolina</t>
  </si>
  <si>
    <t>DeSoto city, Texas</t>
  </si>
  <si>
    <t>Bartlett city, Tennessee</t>
  </si>
  <si>
    <t>Oak Lawn village, Illinois</t>
  </si>
  <si>
    <t>Plainfield city, New Jersey</t>
  </si>
  <si>
    <t>Highland city, California</t>
  </si>
  <si>
    <t>Olympia city, Washington</t>
  </si>
  <si>
    <t>Lincoln city, California</t>
  </si>
  <si>
    <t>Burleson city, Texas</t>
  </si>
  <si>
    <t>Fountain Valley city, California</t>
  </si>
  <si>
    <t>West Sacramento city, California</t>
  </si>
  <si>
    <t>Anderson city, Indiana</t>
  </si>
  <si>
    <t>Port Arthur city, Texas</t>
  </si>
  <si>
    <t>Valdosta city, Georgia</t>
  </si>
  <si>
    <t>Twin Falls city, Idaho</t>
  </si>
  <si>
    <t>San Jacinto city, California</t>
  </si>
  <si>
    <t>Mount Prospect village, Illinois</t>
  </si>
  <si>
    <t>Peabody city, Massachusetts</t>
  </si>
  <si>
    <t>Chicopee city, Massachusetts</t>
  </si>
  <si>
    <t>West Haven city, Connecticut</t>
  </si>
  <si>
    <t>Apple Valley city, Minnesota</t>
  </si>
  <si>
    <t>Berwyn city, Illinois</t>
  </si>
  <si>
    <t>Tinley Park village, Illinois</t>
  </si>
  <si>
    <t>Kentwood city, Michigan</t>
  </si>
  <si>
    <t>Manhattan city, Kansas</t>
  </si>
  <si>
    <t>Fulshear city, Texas</t>
  </si>
  <si>
    <t>Rocky Mount city, North Carolina</t>
  </si>
  <si>
    <t>Arcadia city, California</t>
  </si>
  <si>
    <t>Yucaipa city, California</t>
  </si>
  <si>
    <t>Methuen city, Massachusetts</t>
  </si>
  <si>
    <t>Pensacola city, Florida</t>
  </si>
  <si>
    <t>Wheaton city, Illinois</t>
  </si>
  <si>
    <t>Elkhart city, Indiana</t>
  </si>
  <si>
    <t>Joplin city, Missouri</t>
  </si>
  <si>
    <t>Elyria city, Ohio</t>
  </si>
  <si>
    <t>Edina city, Minnesota</t>
  </si>
  <si>
    <t>Rockwall city, Texas</t>
  </si>
  <si>
    <t>Galveston city, Texas</t>
  </si>
  <si>
    <t>Colton city, California</t>
  </si>
  <si>
    <t>Pinellas Park city, Florida</t>
  </si>
  <si>
    <t>Placentia city, California</t>
  </si>
  <si>
    <t>Normal town, Illinois</t>
  </si>
  <si>
    <t>Grand Island city, Nebraska</t>
  </si>
  <si>
    <t>Delano city, California</t>
  </si>
  <si>
    <t>Palm Desert city, California</t>
  </si>
  <si>
    <t>West New York town, New Jersey</t>
  </si>
  <si>
    <t>Oak Park village, Illinois</t>
  </si>
  <si>
    <t>Jeffersonville city, Indiana</t>
  </si>
  <si>
    <t>Mooresville town, North Carolina</t>
  </si>
  <si>
    <t>Minnetonka city, Minnesota</t>
  </si>
  <si>
    <t>Summerville town, South Carolina</t>
  </si>
  <si>
    <t>Cathedral City city, California</t>
  </si>
  <si>
    <t>Gallatin city, Tennessee</t>
  </si>
  <si>
    <t>Novato city, California</t>
  </si>
  <si>
    <t>Diamond Bar city, California</t>
  </si>
  <si>
    <t>Middletown city, Ohio</t>
  </si>
  <si>
    <t>Battle Creek city, Michigan</t>
  </si>
  <si>
    <t>Huntington Park city, California</t>
  </si>
  <si>
    <t>Burien city, Washington</t>
  </si>
  <si>
    <t>Columbus city, Indiana</t>
  </si>
  <si>
    <t>Collierville town, Tennessee</t>
  </si>
  <si>
    <t>Everett city, Massachusetts</t>
  </si>
  <si>
    <t>Dunwoody city, Georgia</t>
  </si>
  <si>
    <t>Bothell city, Washington</t>
  </si>
  <si>
    <t>Celina city, Texas</t>
  </si>
  <si>
    <t>Lebanon city, Tennessee</t>
  </si>
  <si>
    <t>Prescott Valley town, Arizona</t>
  </si>
  <si>
    <t>Newark city, Ohio</t>
  </si>
  <si>
    <t>Watsonville city, California</t>
  </si>
  <si>
    <t>Grapevine city, Texas</t>
  </si>
  <si>
    <t>Florissant city, Missouri</t>
  </si>
  <si>
    <t>Ocoee city, Florida</t>
  </si>
  <si>
    <t>Paramount city, California</t>
  </si>
  <si>
    <t>Harrisonburg city, Virginia</t>
  </si>
  <si>
    <t>Troy city, New York</t>
  </si>
  <si>
    <t>La Crosse city, Wisconsin</t>
  </si>
  <si>
    <t>Mishawaka city, Indiana</t>
  </si>
  <si>
    <t>Milford city (balance), Connecticut</t>
  </si>
  <si>
    <t>Cuyahoga Falls city, Ohio</t>
  </si>
  <si>
    <t>Hoffman Estates village, Illinois</t>
  </si>
  <si>
    <t>Clermont city, Florida</t>
  </si>
  <si>
    <t>Murray city, Utah</t>
  </si>
  <si>
    <t>Fort Pierce city, Florida</t>
  </si>
  <si>
    <t>Harrisburg city, Pennsylvania</t>
  </si>
  <si>
    <t>Downers Grove village, Illinois</t>
  </si>
  <si>
    <t>Enid city, Oklahoma</t>
  </si>
  <si>
    <t>Aliso Viejo city, California</t>
  </si>
  <si>
    <t>Coral Gables city, Florida</t>
  </si>
  <si>
    <t>Goose Creek city, South Carolina</t>
  </si>
  <si>
    <t>Cleveland city, Tennessee</t>
  </si>
  <si>
    <t>Sherman city, Texas</t>
  </si>
  <si>
    <t>Draper city, Utah</t>
  </si>
  <si>
    <t>Stillwater city, Oklahoma</t>
  </si>
  <si>
    <t>Glendora city, California</t>
  </si>
  <si>
    <t>Portage city, Michigan</t>
  </si>
  <si>
    <t>St. Louis Park city, Minnesota</t>
  </si>
  <si>
    <t>Titusville city, Florida</t>
  </si>
  <si>
    <t>Barnstable Town city, Massachusetts</t>
  </si>
  <si>
    <t>Leesburg town, Virginia</t>
  </si>
  <si>
    <t>Lawrence city, Indiana</t>
  </si>
  <si>
    <t>San Luis Obispo city, California</t>
  </si>
  <si>
    <t>Sheboygan city, Wisconsin</t>
  </si>
  <si>
    <t>Cedar Hill city, Texas</t>
  </si>
  <si>
    <t>Rosemead city, California</t>
  </si>
  <si>
    <t>Lakewood city, Ohio</t>
  </si>
  <si>
    <t>Huntsville city, Texas</t>
  </si>
  <si>
    <t>Chesterfield city, Missouri</t>
  </si>
  <si>
    <t>Dublin city, Ohio</t>
  </si>
  <si>
    <t>Poway city, California</t>
  </si>
  <si>
    <t>Cypress city, California</t>
  </si>
  <si>
    <t>Ceres city, California</t>
  </si>
  <si>
    <t>Covina city, California</t>
  </si>
  <si>
    <t>East Lansing city, Michigan</t>
  </si>
  <si>
    <t>Plainfield village, Illinois</t>
  </si>
  <si>
    <t>Oro Valley town, Arizona</t>
  </si>
  <si>
    <t>Columbia city, Tennessee</t>
  </si>
  <si>
    <t>Wauwatosa city, Wisconsin</t>
  </si>
  <si>
    <t>Winter Garden city, Florida</t>
  </si>
  <si>
    <t>Bedford city, Texas</t>
  </si>
  <si>
    <t>Los Banos city, California</t>
  </si>
  <si>
    <t>Holly Springs town, North Carolina</t>
  </si>
  <si>
    <t>Wentzville city, Missouri</t>
  </si>
  <si>
    <t>Waxahachie city, Texas</t>
  </si>
  <si>
    <t>Middletown city, Connecticut</t>
  </si>
  <si>
    <t>Wilson city, North Carolina</t>
  </si>
  <si>
    <t>Hattiesburg city, Mississippi</t>
  </si>
  <si>
    <t>Euclid city, Ohio</t>
  </si>
  <si>
    <t>Shakopee city, Minnesota</t>
  </si>
  <si>
    <t>Azusa city, California</t>
  </si>
  <si>
    <t>Prescott city, Arizona</t>
  </si>
  <si>
    <t>Biloxi city, Mississippi</t>
  </si>
  <si>
    <t>Beavercreek city, Ohio</t>
  </si>
  <si>
    <t>East Providence city, Rhode Island</t>
  </si>
  <si>
    <t>Brea city, California</t>
  </si>
  <si>
    <t>Spanish Fork city, Utah</t>
  </si>
  <si>
    <t>Urbandale city, Iowa</t>
  </si>
  <si>
    <t>Gainesville city, Georgia</t>
  </si>
  <si>
    <t>Glenview village, Illinois</t>
  </si>
  <si>
    <t>Mansfield city, Ohio</t>
  </si>
  <si>
    <t>Niagara Falls city, New York</t>
  </si>
  <si>
    <t>Minot city, North Dakota</t>
  </si>
  <si>
    <t>Olive Branch city, Mississippi</t>
  </si>
  <si>
    <t>Altamonte Springs city, Florida</t>
  </si>
  <si>
    <t>Roswell city, New Mexico</t>
  </si>
  <si>
    <t>Sayreville borough, New Jersey</t>
  </si>
  <si>
    <t>Oakley city, California</t>
  </si>
  <si>
    <t>Mentor city, Ohio</t>
  </si>
  <si>
    <t>Attleboro city, Massachusetts</t>
  </si>
  <si>
    <t>Roseville city, Michigan</t>
  </si>
  <si>
    <t>Cerritos city, California</t>
  </si>
  <si>
    <t>Binghamton city, New York</t>
  </si>
  <si>
    <t>Riverton city, Utah</t>
  </si>
  <si>
    <t>Keller city, Texas</t>
  </si>
  <si>
    <t>Hackensack city, New Jersey</t>
  </si>
  <si>
    <t>Monroe city, Louisiana</t>
  </si>
  <si>
    <t>Delaware city, Ohio</t>
  </si>
  <si>
    <t>Charleston city, West Virginia</t>
  </si>
  <si>
    <t>Mankato city, Minnesota</t>
  </si>
  <si>
    <t>La Mirada city, California</t>
  </si>
  <si>
    <t>Rancho Santa Margarita city, California</t>
  </si>
  <si>
    <t>West Lafayette city, Indiana</t>
  </si>
  <si>
    <t>North Lauderdale city, Florida</t>
  </si>
  <si>
    <t>Fuquay-Varina town, North Carolina</t>
  </si>
  <si>
    <t>Greer city, South Carolina</t>
  </si>
  <si>
    <t>Farmington city, New Mexico</t>
  </si>
  <si>
    <t>Newark city, California</t>
  </si>
  <si>
    <t>Salina city, Kansas</t>
  </si>
  <si>
    <t>Elmhurst city, Illinois</t>
  </si>
  <si>
    <t>Morgan Hill city, California</t>
  </si>
  <si>
    <t>The Colony city, Texas</t>
  </si>
  <si>
    <t>Cutler Bay town, Florida</t>
  </si>
  <si>
    <t>Post Falls city, Idaho</t>
  </si>
  <si>
    <t>Haltom City city, Texas</t>
  </si>
  <si>
    <t>Oakland Park city, Florida</t>
  </si>
  <si>
    <t>Strongsville city, Ohio</t>
  </si>
  <si>
    <t>Moorhead city, Minnesota</t>
  </si>
  <si>
    <t>Salem city, Massachusetts</t>
  </si>
  <si>
    <t>North Miami Beach city, Florida</t>
  </si>
  <si>
    <t>DeLand city, Florida</t>
  </si>
  <si>
    <t>Newnan city, Georgia</t>
  </si>
  <si>
    <t>Brentwood city, Tennessee</t>
  </si>
  <si>
    <t>Palm Springs city, California</t>
  </si>
  <si>
    <t>Blacksburg town, Virginia</t>
  </si>
  <si>
    <t>Linden city, New Jersey</t>
  </si>
  <si>
    <t>Bremerton city, Washington</t>
  </si>
  <si>
    <t>York city, Pennsylvania</t>
  </si>
  <si>
    <t>Greenacres city, Florida</t>
  </si>
  <si>
    <t>Coachella city, California</t>
  </si>
  <si>
    <t>Fairfield city, Ohio</t>
  </si>
  <si>
    <t>Hickory city, North Carolina</t>
  </si>
  <si>
    <t>Hollister city, California</t>
  </si>
  <si>
    <t>Bountiful city, Utah</t>
  </si>
  <si>
    <t>Huntington city, West Virginia</t>
  </si>
  <si>
    <t>Rohnert Park city, California</t>
  </si>
  <si>
    <t>Littleton city, Colorado</t>
  </si>
  <si>
    <t>Charlottesville city, Virginia</t>
  </si>
  <si>
    <t>Sierra Vista city, Arizona</t>
  </si>
  <si>
    <t>Concord city, New Hampshire</t>
  </si>
  <si>
    <t>Wilkes-Barre city, Pennsylvania</t>
  </si>
  <si>
    <t>Ormond Beach city, Florida</t>
  </si>
  <si>
    <t>Woonsocket city, Rhode Island</t>
  </si>
  <si>
    <t>Prosper town, Texas</t>
  </si>
  <si>
    <t>Lombard village, Illinois</t>
  </si>
  <si>
    <t>Fond du Lac city, Wisconsin</t>
  </si>
  <si>
    <t>Burlington city, Vermont</t>
  </si>
  <si>
    <t>Schertz city, Texas</t>
  </si>
  <si>
    <t>Lake Worth Beach city, Florida</t>
  </si>
  <si>
    <t>Apache Junction city, Arizona</t>
  </si>
  <si>
    <t>El Centro city, California</t>
  </si>
  <si>
    <t>Leominster city, Massachusetts</t>
  </si>
  <si>
    <t>Midlothian city, Texas</t>
  </si>
  <si>
    <t>Mount Juliet city, Tennessee</t>
  </si>
  <si>
    <t>Cleveland Heights city, Ohio</t>
  </si>
  <si>
    <t>Freeport village, New York</t>
  </si>
  <si>
    <t>Grove City city, Ohio</t>
  </si>
  <si>
    <t>Hagerstown city, Maryland</t>
  </si>
  <si>
    <t>Woburn city, Massachusetts</t>
  </si>
  <si>
    <t>Indian Trail town, North Carolina</t>
  </si>
  <si>
    <t>Weslaco city, Texas</t>
  </si>
  <si>
    <t>Kiryas Joel village, New York</t>
  </si>
  <si>
    <t>Manassas city, Virginia</t>
  </si>
  <si>
    <t>Lompoc city, California</t>
  </si>
  <si>
    <t>Huber Heights city, Ohio</t>
  </si>
  <si>
    <t>Brighton city, Colorado</t>
  </si>
  <si>
    <t>Danville town, California</t>
  </si>
  <si>
    <t>Bullhead City city, Arizona</t>
  </si>
  <si>
    <t>Beverly city, Massachusetts</t>
  </si>
  <si>
    <t>Alexandria city, Louisiana</t>
  </si>
  <si>
    <t>Pittsfield city, Massachusetts</t>
  </si>
  <si>
    <t>Buffalo Grove village, Illinois</t>
  </si>
  <si>
    <t>Plant City city, Florida</t>
  </si>
  <si>
    <t>Hallandale Beach city, Florida</t>
  </si>
  <si>
    <t>Saginaw city, Michigan</t>
  </si>
  <si>
    <t>Sumter city, South Carolina</t>
  </si>
  <si>
    <t>Reynoldsburg city, Ohio</t>
  </si>
  <si>
    <t>Campbell city, California</t>
  </si>
  <si>
    <t>Edmonds city, Washington</t>
  </si>
  <si>
    <t>Owasso city, Oklahoma</t>
  </si>
  <si>
    <t>Shelton city, Connecticut</t>
  </si>
  <si>
    <t>Midland city, Michigan</t>
  </si>
  <si>
    <t>Cottage Grove city, Minnesota</t>
  </si>
  <si>
    <t>Altoona city, Pennsylvania</t>
  </si>
  <si>
    <t>Florence city, Alabama</t>
  </si>
  <si>
    <t>Hutto city, Texas</t>
  </si>
  <si>
    <t>Peachtree Corners city, Georgia</t>
  </si>
  <si>
    <t>Rosenberg city, Texas</t>
  </si>
  <si>
    <t>Jefferson City city, Missouri</t>
  </si>
  <si>
    <t>Puyallup city, Washington</t>
  </si>
  <si>
    <t>Marion city, Iowa</t>
  </si>
  <si>
    <t>Moline city, Illinois</t>
  </si>
  <si>
    <t>Marlborough city, Massachusetts</t>
  </si>
  <si>
    <t>Fitchburg city, Massachusetts</t>
  </si>
  <si>
    <t>Haines City city, Florida</t>
  </si>
  <si>
    <t>San Bruno city, California</t>
  </si>
  <si>
    <t>Danville city, Virginia</t>
  </si>
  <si>
    <t>Royal Palm Beach village, Florida</t>
  </si>
  <si>
    <t>Oviedo city, Florida</t>
  </si>
  <si>
    <t>Coppell city, Texas</t>
  </si>
  <si>
    <t>Windsor town, Colorado</t>
  </si>
  <si>
    <t>Lancaster city, Ohio</t>
  </si>
  <si>
    <t>Covington city, Kentucky</t>
  </si>
  <si>
    <t>Lynnwood city, Washington</t>
  </si>
  <si>
    <t>Crystal Lake city, Illinois</t>
  </si>
  <si>
    <t>Milton city, Georgia</t>
  </si>
  <si>
    <t>La Vergne city, Tennessee</t>
  </si>
  <si>
    <t>Cedar Falls city, Iowa</t>
  </si>
  <si>
    <t>Lake Stevens city, Washington</t>
  </si>
  <si>
    <t>American Fork city, Utah</t>
  </si>
  <si>
    <t>Friendswood city, Texas</t>
  </si>
  <si>
    <t>Brookfield city, Wisconsin</t>
  </si>
  <si>
    <t>State College borough, Pennsylvania</t>
  </si>
  <si>
    <t>Stanton city, California</t>
  </si>
  <si>
    <t>Romeoville village, Illinois</t>
  </si>
  <si>
    <t>Hobbs city, New Mexico</t>
  </si>
  <si>
    <t>West Fargo city, North Dakota</t>
  </si>
  <si>
    <t>Amherst Town city, Massachusetts</t>
  </si>
  <si>
    <t>Florence city, South Carolina</t>
  </si>
  <si>
    <t>Tooele city, Utah</t>
  </si>
  <si>
    <t>Cedar City city, Utah</t>
  </si>
  <si>
    <t>Kearny town, New Jersey</t>
  </si>
  <si>
    <t>Lathrop city, California</t>
  </si>
  <si>
    <t>Cape Girardeau city, Missouri</t>
  </si>
  <si>
    <t>Lancaster city, Texas</t>
  </si>
  <si>
    <t>Peachtree City city, Georgia</t>
  </si>
  <si>
    <t>Bartlett village, Illinois</t>
  </si>
  <si>
    <t>Menomonee Falls village, Wisconsin</t>
  </si>
  <si>
    <t>Rexburg city, Idaho</t>
  </si>
  <si>
    <t>Annapolis city, Maryland</t>
  </si>
  <si>
    <t>Fort Lee borough, New Jersey</t>
  </si>
  <si>
    <t>Belleville city, Illinois</t>
  </si>
  <si>
    <t>Douglasville city, Georgia</t>
  </si>
  <si>
    <t>Myrtle Beach city, South Carolina</t>
  </si>
  <si>
    <t>Aventura city, Florida</t>
  </si>
  <si>
    <t>Georgetown city, Kentucky</t>
  </si>
  <si>
    <t>DeKalb city, Illinois</t>
  </si>
  <si>
    <t>Westfield city, Massachusetts</t>
  </si>
  <si>
    <t>Findlay city, Ohio</t>
  </si>
  <si>
    <t>New Berlin city, Wisconsin</t>
  </si>
  <si>
    <t>Bettendorf city, Iowa</t>
  </si>
  <si>
    <t>Wausau city, Wisconsin</t>
  </si>
  <si>
    <t>Chelsea city, Massachusetts</t>
  </si>
  <si>
    <t>Valley Stream village, New York</t>
  </si>
  <si>
    <t>Dover city, Delaware</t>
  </si>
  <si>
    <t>Maplewood city, Minnesota</t>
  </si>
  <si>
    <t>Prattville city, Alabama</t>
  </si>
  <si>
    <t>Germantown city, Tennessee</t>
  </si>
  <si>
    <t>San Luis city, Arizona</t>
  </si>
  <si>
    <t>Rancho Palos Verdes city, California</t>
  </si>
  <si>
    <t>Monroe city, North Carolina</t>
  </si>
  <si>
    <t>Lake Oswego city, Oregon</t>
  </si>
  <si>
    <t>Norwich city, Connecticut</t>
  </si>
  <si>
    <t>La Quinta city, California</t>
  </si>
  <si>
    <t>Culver City city, California</t>
  </si>
  <si>
    <t>Urbana city, Illinois</t>
  </si>
  <si>
    <t>Winter Springs city, Florida</t>
  </si>
  <si>
    <t>Parkland city, Florida</t>
  </si>
  <si>
    <t>Issaquah city, Washington</t>
  </si>
  <si>
    <t>Copperas Cove city, Texas</t>
  </si>
  <si>
    <t>Riviera Beach city, Florida</t>
  </si>
  <si>
    <t>Spartanburg city, South Carolina</t>
  </si>
  <si>
    <t>Richmond city, Kentucky</t>
  </si>
  <si>
    <t>Hutchinson city, Kansas</t>
  </si>
  <si>
    <t>Carol Stream village, Illinois</t>
  </si>
  <si>
    <t>Hurst city, Texas</t>
  </si>
  <si>
    <t>Grants Pass city, Oregon</t>
  </si>
  <si>
    <t>Kearns metro township, Utah</t>
  </si>
  <si>
    <t>Weatherford city, Texas</t>
  </si>
  <si>
    <t>Woodstock city, Georgia</t>
  </si>
  <si>
    <t>Garner town, North Carolina</t>
  </si>
  <si>
    <t>Sun Prairie city, Wisconsin</t>
  </si>
  <si>
    <t>Duncanville city, Texas</t>
  </si>
  <si>
    <t>Keizer city, Oregon</t>
  </si>
  <si>
    <t>Braintree Town city, Massachusetts</t>
  </si>
  <si>
    <t>Syracuse city, Utah</t>
  </si>
  <si>
    <t>Atlantic City city, New Jersey</t>
  </si>
  <si>
    <t>Hilliard city, Ohio</t>
  </si>
  <si>
    <t>Seguin city, Texas</t>
  </si>
  <si>
    <t>Quincy city, Illinois</t>
  </si>
  <si>
    <t>Pine Bluff city, Arkansas</t>
  </si>
  <si>
    <t>Oswego village, Illinois</t>
  </si>
  <si>
    <t>Lincoln Park city, Michigan</t>
  </si>
  <si>
    <t>Lewiston city, Maine</t>
  </si>
  <si>
    <t>Rome city, Georgia</t>
  </si>
  <si>
    <t>Calexico city, California</t>
  </si>
  <si>
    <t>Roy city, Utah</t>
  </si>
  <si>
    <t>Warren city, Ohio</t>
  </si>
  <si>
    <t>Socorro city, Texas</t>
  </si>
  <si>
    <t>Westerville city, Ohio</t>
  </si>
  <si>
    <t>Erie town, Colorado</t>
  </si>
  <si>
    <t>Portage city, Indiana</t>
  </si>
  <si>
    <t>Forney city, Texas</t>
  </si>
  <si>
    <t>Phenix City city, Alabama</t>
  </si>
  <si>
    <t>Park Ridge city, Illinois</t>
  </si>
  <si>
    <t>Estero village, Florida</t>
  </si>
  <si>
    <t>Oak Creek city, Wisconsin</t>
  </si>
  <si>
    <t>Streamwood village, Illinois</t>
  </si>
  <si>
    <t>Bartlesville city, Oklahoma</t>
  </si>
  <si>
    <t>Wheeling village, Illinois</t>
  </si>
  <si>
    <t>Oregon City city, Oregon</t>
  </si>
  <si>
    <t>Longview city, Washington</t>
  </si>
  <si>
    <t>Northglenn city, Colorado</t>
  </si>
  <si>
    <t>East Point city, Georgia</t>
  </si>
  <si>
    <t>Hilton Head Island town, South Carolina</t>
  </si>
  <si>
    <t>Vestavia Hills city, Alabama</t>
  </si>
  <si>
    <t>Cleburne city, Texas</t>
  </si>
  <si>
    <t>Pleasant Grove city, Utah</t>
  </si>
  <si>
    <t>Benton city, Arkansas</t>
  </si>
  <si>
    <t>Canton city, Georgia</t>
  </si>
  <si>
    <t>La Porte city, Texas</t>
  </si>
  <si>
    <t>Hot Springs city, Arkansas</t>
  </si>
  <si>
    <t>Adelanto city, California</t>
  </si>
  <si>
    <t>San Gabriel city, California</t>
  </si>
  <si>
    <t>Holyoke city, Massachusetts</t>
  </si>
  <si>
    <t>Cibolo city, Texas</t>
  </si>
  <si>
    <t>Leesburg city, Florida</t>
  </si>
  <si>
    <t>Plainfield town, Indiana</t>
  </si>
  <si>
    <t>Monrovia city, California</t>
  </si>
  <si>
    <t>Tupelo city, Mississippi</t>
  </si>
  <si>
    <t>Kennesaw city, Georgia</t>
  </si>
  <si>
    <t>Wildomar city, California</t>
  </si>
  <si>
    <t>New Albany city, Indiana</t>
  </si>
  <si>
    <t>Montclair city, California</t>
  </si>
  <si>
    <t>Redmond city, Oregon</t>
  </si>
  <si>
    <t>Bell Gardens city, California</t>
  </si>
  <si>
    <t>Clovis city, New Mexico</t>
  </si>
  <si>
    <t>North Ridgeville city, Ohio</t>
  </si>
  <si>
    <t>Sahuarita town, Arizona</t>
  </si>
  <si>
    <t>Leavenworth city, Kansas</t>
  </si>
  <si>
    <t>Farmers Branch city, Texas</t>
  </si>
  <si>
    <t>San Juan city, Texas</t>
  </si>
  <si>
    <t>Lauderdale Lakes city, Florida</t>
  </si>
  <si>
    <t>Muskegon city, Michigan</t>
  </si>
  <si>
    <t>Greenfield city, Wisconsin</t>
  </si>
  <si>
    <t>Tucker city, Georgia</t>
  </si>
  <si>
    <t>Carpentersville village, Illinois</t>
  </si>
  <si>
    <t>Cookeville city, Tennessee</t>
  </si>
  <si>
    <t>Pacifica city, California</t>
  </si>
  <si>
    <t>Panama City city, Florida</t>
  </si>
  <si>
    <t>Princeton city, Texas</t>
  </si>
  <si>
    <t>Martinez city, California</t>
  </si>
  <si>
    <t>Merrillville town, Indiana</t>
  </si>
  <si>
    <t>Muskogee city, Oklahoma</t>
  </si>
  <si>
    <t>Hanover Park village, Illinois</t>
  </si>
  <si>
    <t>La Puente city, California</t>
  </si>
  <si>
    <t>Beloit city, Wisconsin</t>
  </si>
  <si>
    <t>Franklin city, Wisconsin</t>
  </si>
  <si>
    <t>Hinesville city, Georgia</t>
  </si>
  <si>
    <t>Salisbury city, North Carolina</t>
  </si>
  <si>
    <t>Richfield city, Minnesota</t>
  </si>
  <si>
    <t>Fair Lawn borough, New Jersey</t>
  </si>
  <si>
    <t>El Mirage city, Arizona</t>
  </si>
  <si>
    <t>Rock Island city, Illinois</t>
  </si>
  <si>
    <t>Fort Mill town, South Carolina</t>
  </si>
  <si>
    <t>Inver Grove Heights city, Minnesota</t>
  </si>
  <si>
    <t>Midvale city, Utah</t>
  </si>
  <si>
    <t>Bluffton town, South Carolina</t>
  </si>
  <si>
    <t>Upper Arlington city, Ohio</t>
  </si>
  <si>
    <t>Claremont city, California</t>
  </si>
  <si>
    <t>Norristown borough, Pennsylvania</t>
  </si>
  <si>
    <t>Mason city, Ohio</t>
  </si>
  <si>
    <t>Springville city, Utah</t>
  </si>
  <si>
    <t>Watertown city, Massachusetts</t>
  </si>
  <si>
    <t>Texarkana city, Texas</t>
  </si>
  <si>
    <t>Dunedin city, Florida</t>
  </si>
  <si>
    <t>Stockbridge city, Georgia</t>
  </si>
  <si>
    <t>Addison village, Illinois</t>
  </si>
  <si>
    <t>Torrington city, Connecticut</t>
  </si>
  <si>
    <t>Roseville city, Minnesota</t>
  </si>
  <si>
    <t>Moorpark city, California</t>
  </si>
  <si>
    <t>Marion city, Ohio</t>
  </si>
  <si>
    <t>Richmond city, Indiana</t>
  </si>
  <si>
    <t>Gahanna city, Ohio</t>
  </si>
  <si>
    <t>Cooper City city, Florida</t>
  </si>
  <si>
    <t>Washington city, Utah</t>
  </si>
  <si>
    <t>Butte-Silver Bow (balance), Montana</t>
  </si>
  <si>
    <t>San Juan Capistrano city, California</t>
  </si>
  <si>
    <t>Wenatchee city, Washington</t>
  </si>
  <si>
    <t>Kingman city, Arizona</t>
  </si>
  <si>
    <t>Mount Vernon city, Washington</t>
  </si>
  <si>
    <t>Harker Heights city, Texas</t>
  </si>
  <si>
    <t>McMinnville city, Oregon</t>
  </si>
  <si>
    <t>Englewood city, Colorado</t>
  </si>
  <si>
    <t>Statesboro city, Georgia</t>
  </si>
  <si>
    <t>Brunswick city, Ohio</t>
  </si>
  <si>
    <t>University Place city, Washington</t>
  </si>
  <si>
    <t>Randolph Town city, Massachusetts</t>
  </si>
  <si>
    <t>Fairborn city, Ohio</t>
  </si>
  <si>
    <t>Crown Point city, Indiana</t>
  </si>
  <si>
    <t>Wildwood city, Missouri</t>
  </si>
  <si>
    <t>Valparaiso city, Indiana</t>
  </si>
  <si>
    <t>Holland city, Michigan</t>
  </si>
  <si>
    <t>Opelika city, Alabama</t>
  </si>
  <si>
    <t>Temple City city, California</t>
  </si>
  <si>
    <t>Dalton city, Georgia</t>
  </si>
  <si>
    <t>Calumet City city, Illinois</t>
  </si>
  <si>
    <t>Clearfield city, Utah</t>
  </si>
  <si>
    <t>Long Beach city, New York</t>
  </si>
  <si>
    <t>Kearney city, Nebraska</t>
  </si>
  <si>
    <t>Helena city, Montana</t>
  </si>
  <si>
    <t>Lewiston city, Idaho</t>
  </si>
  <si>
    <t>Lima city, Ohio</t>
  </si>
  <si>
    <t>Del Rio city, Texas</t>
  </si>
  <si>
    <t>College Park city, Maryland</t>
  </si>
  <si>
    <t>Goldsboro city, North Carolina</t>
  </si>
  <si>
    <t>Manitowoc city, Wisconsin</t>
  </si>
  <si>
    <t>Elizabethtown city, Kentucky</t>
  </si>
  <si>
    <t>Northbrook village, Illinois</t>
  </si>
  <si>
    <t>Deer Park city, Texas</t>
  </si>
  <si>
    <t>Alabaster city, Alabama</t>
  </si>
  <si>
    <t>Goshen city, Indiana</t>
  </si>
  <si>
    <t>Leland town, North Carolina</t>
  </si>
  <si>
    <t>Waukee city, Iowa</t>
  </si>
  <si>
    <t>Lufkin city, Texas</t>
  </si>
  <si>
    <t>West Hollywood city, California</t>
  </si>
  <si>
    <t>Cornelius town, North Carolina</t>
  </si>
  <si>
    <t>Fitchburg city, Wisconsin</t>
  </si>
  <si>
    <t>Greenville city, Texas</t>
  </si>
  <si>
    <t>University City city, Missouri</t>
  </si>
  <si>
    <t>Westlake city, Ohio</t>
  </si>
  <si>
    <t>New Bern city, North Carolina</t>
  </si>
  <si>
    <t>Pleasant Hill city, California</t>
  </si>
  <si>
    <t>Woodridge village, Illinois</t>
  </si>
  <si>
    <t>Stow city, Ohio</t>
  </si>
  <si>
    <t>Petersburg city, Virginia</t>
  </si>
  <si>
    <t>Chester city, Pennsylvania</t>
  </si>
  <si>
    <t>Oak Ridge city, Tennessee</t>
  </si>
  <si>
    <t>SeaTac city, Washington</t>
  </si>
  <si>
    <t>Leawood city, Kansas</t>
  </si>
  <si>
    <t>Eastpointe city, Michigan</t>
  </si>
  <si>
    <t>Desert Hot Springs city, California</t>
  </si>
  <si>
    <t>Dover city, New Hampshire</t>
  </si>
  <si>
    <t>Walla Walla city, Washington</t>
  </si>
  <si>
    <t>Gillette city, Wyoming</t>
  </si>
  <si>
    <t>Ithaca city, New York</t>
  </si>
  <si>
    <t>Florence city, Kentucky</t>
  </si>
  <si>
    <t>Franklin Town city, Massachusetts</t>
  </si>
  <si>
    <t>Spring Valley village, New York</t>
  </si>
  <si>
    <t>Salisbury city, Maryland</t>
  </si>
  <si>
    <t>Rochester city, New Hampshire</t>
  </si>
  <si>
    <t>LaGrange city, Georgia</t>
  </si>
  <si>
    <t>Meridian city, Mississippi</t>
  </si>
  <si>
    <t>Pullman city, Washington</t>
  </si>
  <si>
    <t>Garfield city, New Jersey</t>
  </si>
  <si>
    <t>St. Charles city, Illinois</t>
  </si>
  <si>
    <t>Nicholasville city, Kentucky</t>
  </si>
  <si>
    <t>Manhattan Beach city, California</t>
  </si>
  <si>
    <t>Eagle city, Idaho</t>
  </si>
  <si>
    <t>Brownsburg town, Indiana</t>
  </si>
  <si>
    <t>Andover city, Minnesota</t>
  </si>
  <si>
    <t>Sherwood city, Arkansas</t>
  </si>
  <si>
    <t>Bella Vista city, Arkansas</t>
  </si>
  <si>
    <t>Kaysville city, Utah</t>
  </si>
  <si>
    <t>Miami Lakes town, Florida</t>
  </si>
  <si>
    <t>San Dimas city, California</t>
  </si>
  <si>
    <t>Long Branch city, New Jersey</t>
  </si>
  <si>
    <t>Des Moines city, Washington</t>
  </si>
  <si>
    <t>Zionsville town, Indiana</t>
  </si>
  <si>
    <t>Duluth city, Georgia</t>
  </si>
  <si>
    <t>New Smyrna Beach city, Florida</t>
  </si>
  <si>
    <t>Gadsden city, Alabama</t>
  </si>
  <si>
    <t>Dania Beach city, Florida</t>
  </si>
  <si>
    <t>Menlo Park city, California</t>
  </si>
  <si>
    <t>Sachse city, Texas</t>
  </si>
  <si>
    <t>Morristown city, Tennessee</t>
  </si>
  <si>
    <t>Sanford city, North Carolina</t>
  </si>
  <si>
    <t>Laramie city, Wyoming</t>
  </si>
  <si>
    <t>Los Gatos town, California</t>
  </si>
  <si>
    <t>Savage city, Minnesota</t>
  </si>
  <si>
    <t>Glendale Heights village, Illinois</t>
  </si>
  <si>
    <t>McDonough city, Georgia</t>
  </si>
  <si>
    <t>Massillon city, Ohio</t>
  </si>
  <si>
    <t>Aiken city, South Carolina</t>
  </si>
  <si>
    <t>Foster City city, California</t>
  </si>
  <si>
    <t>Mundelein village, Illinois</t>
  </si>
  <si>
    <t>Morrisville town, North Carolina</t>
  </si>
  <si>
    <t>Goleta city, California</t>
  </si>
  <si>
    <t>Athens city, Alabama</t>
  </si>
  <si>
    <t>Dana Point city, California</t>
  </si>
  <si>
    <t>Bangor city, Maine</t>
  </si>
  <si>
    <t>Cottonwood Heights city, Utah</t>
  </si>
  <si>
    <t>Nacogdoches city, Texas</t>
  </si>
  <si>
    <t>Bethel Park municipality, Pennsylvania</t>
  </si>
  <si>
    <t>Maryville city, Tennessee</t>
  </si>
  <si>
    <t>Chamblee city, Georgia</t>
  </si>
  <si>
    <t>Poughkeepsie city, New York</t>
  </si>
  <si>
    <t>Atwater city, California</t>
  </si>
  <si>
    <t>O'Fallon city, Illinois</t>
  </si>
  <si>
    <t>West Bend city, Wisconsin</t>
  </si>
  <si>
    <t>Naugatuck borough, Connecticut</t>
  </si>
  <si>
    <t>Shawnee city, Oklahoma</t>
  </si>
  <si>
    <t>Bay City city, Michigan</t>
  </si>
  <si>
    <t>Westfield town, New Jersey</t>
  </si>
  <si>
    <t>Matthews town, North Carolina</t>
  </si>
  <si>
    <t>Wheat Ridge city, Colorado</t>
  </si>
  <si>
    <t>Carlsbad city, New Mexico</t>
  </si>
  <si>
    <t>Rome city, New York</t>
  </si>
  <si>
    <t>Anna city, Texas</t>
  </si>
  <si>
    <t>Bell city, California</t>
  </si>
  <si>
    <t>Banning city, California</t>
  </si>
  <si>
    <t>Lawrenceville city, Georgia</t>
  </si>
  <si>
    <t>Elk Grove Village village, Illinois</t>
  </si>
  <si>
    <t>Santa Paula city, California</t>
  </si>
  <si>
    <t>Brooklyn Center city, Minnesota</t>
  </si>
  <si>
    <t>Fairbanks city, Alaska</t>
  </si>
  <si>
    <t>Clayton town, North Carolina</t>
  </si>
  <si>
    <t>Bixby city, Oklahoma</t>
  </si>
  <si>
    <t>Statesville city, North Carolina</t>
  </si>
  <si>
    <t>North Olmsted city, Ohio</t>
  </si>
  <si>
    <t>Houma city, Louisiana</t>
  </si>
  <si>
    <t>Alamogordo city, New Mexico</t>
  </si>
  <si>
    <t>Casselberry city, Florida</t>
  </si>
  <si>
    <t>Juneau city and borough, Alaska</t>
  </si>
  <si>
    <t>El Paso de Robles (Paso Robles) city, California</t>
  </si>
  <si>
    <t>San Pablo city, California</t>
  </si>
  <si>
    <t>Seaside city, California</t>
  </si>
  <si>
    <t>Southlake city, Texas</t>
  </si>
  <si>
    <t>Northport city, Alabama</t>
  </si>
  <si>
    <t>Michigan City city, Indiana</t>
  </si>
  <si>
    <t>Princeton, New Jersey</t>
  </si>
  <si>
    <t>Rockledge city, Florida</t>
  </si>
  <si>
    <t>Converse city, Texas</t>
  </si>
  <si>
    <t>Magna metro township, Utah</t>
  </si>
  <si>
    <t>West Melbourne city, Florida</t>
  </si>
  <si>
    <t>Harrison village, New York</t>
  </si>
  <si>
    <t>Northampton city, Massachusetts</t>
  </si>
  <si>
    <t>Kalispell city, Montana</t>
  </si>
  <si>
    <t>Pekin city, Illinois</t>
  </si>
  <si>
    <t>Liberty city, Missouri</t>
  </si>
  <si>
    <t>North Attleborough Town city, Massachusetts</t>
  </si>
  <si>
    <t>Pooler city, Georgia</t>
  </si>
  <si>
    <t>Ballwin city, Missouri</t>
  </si>
  <si>
    <t>Beverly Hills city, California</t>
  </si>
  <si>
    <t>Port Chester village, New York</t>
  </si>
  <si>
    <t>Anderson city, South Carolina</t>
  </si>
  <si>
    <t>Jackson city, Michigan</t>
  </si>
  <si>
    <t>North Royalton city, Ohio</t>
  </si>
  <si>
    <t>Burlingame city, California</t>
  </si>
  <si>
    <t>Los Altos city, California</t>
  </si>
  <si>
    <t>Winter Park city, Florida</t>
  </si>
  <si>
    <t>Hopkinsville city, Kentucky</t>
  </si>
  <si>
    <t>Highland Park city, Illinois</t>
  </si>
  <si>
    <t>Rahway city, New Jersey</t>
  </si>
  <si>
    <t>Daphne city, Alabama</t>
  </si>
  <si>
    <t>Enterprise city, Alabama</t>
  </si>
  <si>
    <t>Crestview city, Florida</t>
  </si>
  <si>
    <t>Paragould city, Arkansas</t>
  </si>
  <si>
    <t>Fridley city, Minnesota</t>
  </si>
  <si>
    <t>North Chicago city, Illinois</t>
  </si>
  <si>
    <t>Holladay city, Utah</t>
  </si>
  <si>
    <t>Lafayette city, Colorado</t>
  </si>
  <si>
    <t>Rosemount city, Minnesota</t>
  </si>
  <si>
    <t>Gurnee village, Illinois</t>
  </si>
  <si>
    <t>Algonquin village, Illinois</t>
  </si>
  <si>
    <t>Newark city, Delaware</t>
  </si>
  <si>
    <t>Gloucester city, Massachusetts</t>
  </si>
  <si>
    <t>Morgantown city, West Virginia</t>
  </si>
  <si>
    <t>Saratoga city, California</t>
  </si>
  <si>
    <t>Bowling Green city, Ohio</t>
  </si>
  <si>
    <t>Woodburn city, Oregon</t>
  </si>
  <si>
    <t>Oakdale city, Minnesota</t>
  </si>
  <si>
    <t>Easton city, Pennsylvania</t>
  </si>
  <si>
    <t>Laguna Hills city, California</t>
  </si>
  <si>
    <t>Hazleton city, Pennsylvania</t>
  </si>
  <si>
    <t>Laurel city, Maryland</t>
  </si>
  <si>
    <t>Englewood city, New Jersey</t>
  </si>
  <si>
    <t>Independence city, Kentucky</t>
  </si>
  <si>
    <t>La Verne city, California</t>
  </si>
  <si>
    <t>Middletown city, New York</t>
  </si>
  <si>
    <t>Chaska city, Minnesota</t>
  </si>
  <si>
    <t>Central city, Louisiana</t>
  </si>
  <si>
    <t>Lawndale city, California</t>
  </si>
  <si>
    <t>Fredericksburg city, Virginia</t>
  </si>
  <si>
    <t>North Tonawanda city, New York</t>
  </si>
  <si>
    <t>Melrose city, Massachusetts</t>
  </si>
  <si>
    <t>Niles village, Illinois</t>
  </si>
  <si>
    <t>Venice city, Florida</t>
  </si>
  <si>
    <t>Alvin city, Texas</t>
  </si>
  <si>
    <t>Schererville town, Indiana</t>
  </si>
  <si>
    <t>Mauldin city, South Carolina</t>
  </si>
  <si>
    <t>Atascadero city, California</t>
  </si>
  <si>
    <t>Conway city, South Carolina</t>
  </si>
  <si>
    <t>Suisun City city, California</t>
  </si>
  <si>
    <t>Fountain city, Colorado</t>
  </si>
  <si>
    <t>Russellville city, Arkansas</t>
  </si>
  <si>
    <t>Burton city, Michigan</t>
  </si>
  <si>
    <t>Hobart city, Indiana</t>
  </si>
  <si>
    <t>San Carlos city, California</t>
  </si>
  <si>
    <t>Oak Park city, Michigan</t>
  </si>
  <si>
    <t>Jeffersontown city, Kentucky</t>
  </si>
  <si>
    <t>Kirkwood city, Missouri</t>
  </si>
  <si>
    <t>East Palo Alto city, California</t>
  </si>
  <si>
    <t>Galesburg city, Illinois</t>
  </si>
  <si>
    <t>Marysville city, Ohio</t>
  </si>
  <si>
    <t>Raytown city, Missouri</t>
  </si>
  <si>
    <t>Bridgewater Town city, Massachusetts</t>
  </si>
  <si>
    <t>Jacksonville city, Arkansas</t>
  </si>
  <si>
    <t>Kuna city, Idaho</t>
  </si>
  <si>
    <t>Southgate city, Michigan</t>
  </si>
  <si>
    <t>West Springfield Town city, Massachusetts</t>
  </si>
  <si>
    <t>Monterey city, California</t>
  </si>
  <si>
    <t>Garfield Heights city, Ohio</t>
  </si>
  <si>
    <t>Ramsey city, Minnesota</t>
  </si>
  <si>
    <t>Happy Valley city, Oregon</t>
  </si>
  <si>
    <t>Bergenfield borough, New Jersey</t>
  </si>
  <si>
    <t>Texarkana city, Arkansas</t>
  </si>
  <si>
    <t>Glen Ellyn village, Illinois</t>
  </si>
  <si>
    <t>Parkersburg city, West Virginia</t>
  </si>
  <si>
    <t>McHenry city, Illinois</t>
  </si>
  <si>
    <t>Mint Hill town, North Carolina</t>
  </si>
  <si>
    <t>Williston city, North Dakota</t>
  </si>
  <si>
    <t>Eagle Pass city, Texas</t>
  </si>
  <si>
    <t>Kernersville town, North Carolina</t>
  </si>
  <si>
    <t>Agawam Town city, Massachusetts</t>
  </si>
  <si>
    <t>Saratoga Springs city, New York</t>
  </si>
  <si>
    <t>Lake in the Hills village, Illinois</t>
  </si>
  <si>
    <t>Shaker Heights city, Ohio</t>
  </si>
  <si>
    <t>Madison Heights city, Michigan</t>
  </si>
  <si>
    <t>Frankfort city, Kentucky</t>
  </si>
  <si>
    <t>Burbank city, Illinois</t>
  </si>
  <si>
    <t>Sugar Hill city, Georgia</t>
  </si>
  <si>
    <t>Maple Valley city, Washington</t>
  </si>
  <si>
    <t>Palm Springs village, Florida</t>
  </si>
  <si>
    <t>Huntley village, Illinois</t>
  </si>
  <si>
    <t>New Lenox village, Illinois</t>
  </si>
  <si>
    <t>Pearl city, Mississippi</t>
  </si>
  <si>
    <t>Slidell city, Louisiana</t>
  </si>
  <si>
    <t>Ridgecrest city, California</t>
  </si>
  <si>
    <t>Port Huron city, Michigan</t>
  </si>
  <si>
    <t>Carrollton city, Georgia</t>
  </si>
  <si>
    <t>Marion city, Indiana</t>
  </si>
  <si>
    <t>Madison city, Mississippi</t>
  </si>
  <si>
    <t>Union City city, Georgia</t>
  </si>
  <si>
    <t>Fremont city, Nebraska</t>
  </si>
  <si>
    <t>Brawley city, California</t>
  </si>
  <si>
    <t>Mount Pleasant village, Wisconsin</t>
  </si>
  <si>
    <t>Newburgh city, New York</t>
  </si>
  <si>
    <t>Lake Jackson city, Texas</t>
  </si>
  <si>
    <t>Lansing village, Illinois</t>
  </si>
  <si>
    <t>Glen Cove city, New York</t>
  </si>
  <si>
    <t>New London city, Connecticut</t>
  </si>
  <si>
    <t>Simpsonville city, South Carolina</t>
  </si>
  <si>
    <t>Foley city, Alabama</t>
  </si>
  <si>
    <t>Tualatin city, Oregon</t>
  </si>
  <si>
    <t>Prior Lake city, Minnesota</t>
  </si>
  <si>
    <t>Garden City city, Kansas</t>
  </si>
  <si>
    <t>Danville city, Illinois</t>
  </si>
  <si>
    <t>Monroeville municipality, Pennsylvania</t>
  </si>
  <si>
    <t>Asheboro city, North Carolina</t>
  </si>
  <si>
    <t>Homewood city, Alabama</t>
  </si>
  <si>
    <t>Aberdeen city, South Dakota</t>
  </si>
  <si>
    <t>Wilsonville city, Oregon</t>
  </si>
  <si>
    <t>Marshalltown city, Iowa</t>
  </si>
  <si>
    <t>Jenks city, Oklahoma</t>
  </si>
  <si>
    <t>Lemon Grove city, California</t>
  </si>
  <si>
    <t>Bristol city, Tennessee</t>
  </si>
  <si>
    <t>Millville city, New Jersey</t>
  </si>
  <si>
    <t>Tumwater city, Washington</t>
  </si>
  <si>
    <t>Winchester city, Virginia</t>
  </si>
  <si>
    <t>Henderson city, Kentucky</t>
  </si>
  <si>
    <t>Katy city, Texas</t>
  </si>
  <si>
    <t>Bridgeton city, New Jersey</t>
  </si>
  <si>
    <t>Kent city, Ohio</t>
  </si>
  <si>
    <t>Jamestown city, New York</t>
  </si>
  <si>
    <t>Maryland Heights city, Missouri</t>
  </si>
  <si>
    <t>Dodge City city, Kansas</t>
  </si>
  <si>
    <t>Williamsport city, Pennsylvania</t>
  </si>
  <si>
    <t>Elk River city, Minnesota</t>
  </si>
  <si>
    <t>Thomasville city, North Carolina</t>
  </si>
  <si>
    <t>Allen Park city, Michigan</t>
  </si>
  <si>
    <t>Temple Terrace city, Florida</t>
  </si>
  <si>
    <t>Gladstone city, Missouri</t>
  </si>
  <si>
    <t>Cabot city, Arkansas</t>
  </si>
  <si>
    <t>Neenah city, Wisconsin</t>
  </si>
  <si>
    <t>Green city, Ohio</t>
  </si>
  <si>
    <t>Fate city, Texas</t>
  </si>
  <si>
    <t>Wilmette village, Illinois</t>
  </si>
  <si>
    <t>Hamtramck city, Michigan</t>
  </si>
  <si>
    <t>Wasco city, California</t>
  </si>
  <si>
    <t>Camas city, Washington</t>
  </si>
  <si>
    <t>Balch Springs city, Texas</t>
  </si>
  <si>
    <t>Walnut city, California</t>
  </si>
  <si>
    <t>Lindenhurst village, New York</t>
  </si>
  <si>
    <t>Newberg city, Oregon</t>
  </si>
  <si>
    <t>Belmont city, California</t>
  </si>
  <si>
    <t>Troy city, Ohio</t>
  </si>
  <si>
    <t>Round Lake Beach village, Illinois</t>
  </si>
  <si>
    <t>Sebastian city, Florida</t>
  </si>
  <si>
    <t>Trussville city, Alabama</t>
  </si>
  <si>
    <t>Forest Grove city, Oregon</t>
  </si>
  <si>
    <t>Yukon city, Oklahoma</t>
  </si>
  <si>
    <t>Lemoore city, California</t>
  </si>
  <si>
    <t>Greenville city, Mississippi</t>
  </si>
  <si>
    <t>Vernon Hills village, Illinois</t>
  </si>
  <si>
    <t>Easley city, South Carolina</t>
  </si>
  <si>
    <t>South Portland city, Maine</t>
  </si>
  <si>
    <t>Wooster city, Ohio</t>
  </si>
  <si>
    <t>Moses Lake city, Washington</t>
  </si>
  <si>
    <t>Mason City city, Iowa</t>
  </si>
  <si>
    <t>Shoreview city, Minnesota</t>
  </si>
  <si>
    <t>Lockport city, Illinois</t>
  </si>
  <si>
    <t>Ossining village, New York</t>
  </si>
  <si>
    <t>Moscow city, Idaho</t>
  </si>
  <si>
    <t>Granite City city, Illinois</t>
  </si>
  <si>
    <t>New Iberia city, Louisiana</t>
  </si>
  <si>
    <t>Oak Forest city, Illinois</t>
  </si>
  <si>
    <t>Oxford city, Mississippi</t>
  </si>
  <si>
    <t>Paramus borough, New Jersey</t>
  </si>
  <si>
    <t>Edwardsville city, Illinois</t>
  </si>
  <si>
    <t>Paducah city, Kentucky</t>
  </si>
  <si>
    <t>Ridgewood village, New Jersey</t>
  </si>
  <si>
    <t>Austin city, Minnesota</t>
  </si>
  <si>
    <t>Sanger city, California</t>
  </si>
  <si>
    <t>Grandview city, Missouri</t>
  </si>
  <si>
    <t>Owatonna city, Minnesota</t>
  </si>
  <si>
    <t>Superior city, Wisconsin</t>
  </si>
  <si>
    <t>Clinton city, Mississippi</t>
  </si>
  <si>
    <t>Derby city, Kansas</t>
  </si>
  <si>
    <t>West Linn city, Oregon</t>
  </si>
  <si>
    <t>Galt city, California</t>
  </si>
  <si>
    <t>Horn Lake city, Mississippi</t>
  </si>
  <si>
    <t>Twentynine Palms city, California</t>
  </si>
  <si>
    <t>South Salt Lake city, Utah</t>
  </si>
  <si>
    <t>Batavia city, Illinois</t>
  </si>
  <si>
    <t>Chicago Heights city, Illinois</t>
  </si>
  <si>
    <t>Hercules city, California</t>
  </si>
  <si>
    <t>Benicia city, California</t>
  </si>
  <si>
    <t>Stevens Point city, Wisconsin</t>
  </si>
  <si>
    <t>Lebanon city, Pennsylvania</t>
  </si>
  <si>
    <t>Denison city, Texas</t>
  </si>
  <si>
    <t>Plum borough, Pennsylvania</t>
  </si>
  <si>
    <t>Garden City city, Michigan</t>
  </si>
  <si>
    <t>El Cerrito city, California</t>
  </si>
  <si>
    <t>North Augusta city, South Carolina</t>
  </si>
  <si>
    <t>Royse City city, Texas</t>
  </si>
  <si>
    <t>Staunton city, Virginia</t>
  </si>
  <si>
    <t>Lodi borough, New Jersey</t>
  </si>
  <si>
    <t>Nixa city, Missouri</t>
  </si>
  <si>
    <t>Soledad city, California</t>
  </si>
  <si>
    <t>Avon Lake city, Ohio</t>
  </si>
  <si>
    <t>Fairfax city, Virginia</t>
  </si>
  <si>
    <t>Centerville city, Ohio</t>
  </si>
  <si>
    <t>Greenfield city, Indiana</t>
  </si>
  <si>
    <t>Elmira city, New York</t>
  </si>
  <si>
    <t>Melissa city, Texas</t>
  </si>
  <si>
    <t>Cliffside Park borough, New Jersey</t>
  </si>
  <si>
    <t>Winona city, Minnesota</t>
  </si>
  <si>
    <t>Tarpon Springs city, Florida</t>
  </si>
  <si>
    <t>Farmington city, Utah</t>
  </si>
  <si>
    <t>Norfolk city, Nebraska</t>
  </si>
  <si>
    <t>Franklin city, Indiana</t>
  </si>
  <si>
    <t>Reedley city, California</t>
  </si>
  <si>
    <t>Saginaw city, Texas</t>
  </si>
  <si>
    <t>Xenia city, Ohio</t>
  </si>
  <si>
    <t>Wheeling city, West Virginia</t>
  </si>
  <si>
    <t>Auburn Hills city, Michigan</t>
  </si>
  <si>
    <t>Fairhope city, Alabama</t>
  </si>
  <si>
    <t>Colleyville city, Texas</t>
  </si>
  <si>
    <t>Carteret borough, New Jersey</t>
  </si>
  <si>
    <t>Yorkville city, Illinois</t>
  </si>
  <si>
    <t>Auburn city, New York</t>
  </si>
  <si>
    <t>Raymore city, Missouri</t>
  </si>
  <si>
    <t>Walker city, Michigan</t>
  </si>
  <si>
    <t>Salem city, Virginia</t>
  </si>
  <si>
    <t>Woodstock city, Illinois</t>
  </si>
  <si>
    <t>Brandon city, Mississippi</t>
  </si>
  <si>
    <t>Belton city, Missouri</t>
  </si>
  <si>
    <t>Windsor town, California</t>
  </si>
  <si>
    <t>Starkville city, Mississippi</t>
  </si>
  <si>
    <t>Gardner city, Kansas</t>
  </si>
  <si>
    <t>Dinuba city, California</t>
  </si>
  <si>
    <t>Pickerington city, Ohio</t>
  </si>
  <si>
    <t>Shelbyville city, Tennessee</t>
  </si>
  <si>
    <t>East Chicago city, Indiana</t>
  </si>
  <si>
    <t>Muskego city, Wisconsin</t>
  </si>
  <si>
    <t>Peekskill city, New York</t>
  </si>
  <si>
    <t>Medina city, Ohio</t>
  </si>
  <si>
    <t>Chanhassen city, Minnesota</t>
  </si>
  <si>
    <t>Centerton city, Arkansas</t>
  </si>
  <si>
    <t>Rockville Centre village, New York</t>
  </si>
  <si>
    <t>Dickinson city, North Dakota</t>
  </si>
  <si>
    <t>Middletown town, Delaware</t>
  </si>
  <si>
    <t>South Pasadena city, California</t>
  </si>
  <si>
    <t>Ottumwa city, Iowa</t>
  </si>
  <si>
    <t>Belton city, Texas</t>
  </si>
  <si>
    <t>Riverbank city, California</t>
  </si>
  <si>
    <t>Corsicana city, Texas</t>
  </si>
  <si>
    <t>Avon city, Ohio</t>
  </si>
  <si>
    <t>Imperial Beach city, California</t>
  </si>
  <si>
    <t>Fernley city, Nevada</t>
  </si>
  <si>
    <t>Patterson city, California</t>
  </si>
  <si>
    <t>West Chicago city, Illinois</t>
  </si>
  <si>
    <t>De Pere city, Wisconsin</t>
  </si>
  <si>
    <t>Eureka city, California</t>
  </si>
  <si>
    <t>Palmetto Bay village, Florida</t>
  </si>
  <si>
    <t>Norco city, California</t>
  </si>
  <si>
    <t>Pelham city, Alabama</t>
  </si>
  <si>
    <t>Lafayette city, California</t>
  </si>
  <si>
    <t>Lexington town, South Carolina</t>
  </si>
  <si>
    <t>Mequon city, Wisconsin</t>
  </si>
  <si>
    <t>Belvidere city, Illinois</t>
  </si>
  <si>
    <t>Perrysburg city, Ohio</t>
  </si>
  <si>
    <t>Mercer Island city, Washington</t>
  </si>
  <si>
    <t>University Park city, Texas</t>
  </si>
  <si>
    <t>Papillion city, Nebraska</t>
  </si>
  <si>
    <t>Farragut town, Tennessee</t>
  </si>
  <si>
    <t>Key West city, Florida</t>
  </si>
  <si>
    <t>Caledonia village, Wisconsin</t>
  </si>
  <si>
    <t>Auburn city, Maine</t>
  </si>
  <si>
    <t>Mountlake Terrace city, Washington</t>
  </si>
  <si>
    <t>Loma Linda city, California</t>
  </si>
  <si>
    <t>Herndon town, Virginia</t>
  </si>
  <si>
    <t>Hastings city, Nebraska</t>
  </si>
  <si>
    <t>Kerrville city, Texas</t>
  </si>
  <si>
    <t>Columbus city, Nebraska</t>
  </si>
  <si>
    <t>Inkster city, Michigan</t>
  </si>
  <si>
    <t>Cartersville city, Georgia</t>
  </si>
  <si>
    <t>Bessemer city, Alabama</t>
  </si>
  <si>
    <t>Norton Shores city, Michigan</t>
  </si>
  <si>
    <t>Eustis city, Florida</t>
  </si>
  <si>
    <t>Ardmore city, Oklahoma</t>
  </si>
  <si>
    <t>South Plainfield borough, New Jersey</t>
  </si>
  <si>
    <t>Paris city, Texas</t>
  </si>
  <si>
    <t>Johnston city, Iowa</t>
  </si>
  <si>
    <t>Faribault city, Minnesota</t>
  </si>
  <si>
    <t>Alton city, Illinois</t>
  </si>
  <si>
    <t>Hazelwood city, Missouri</t>
  </si>
  <si>
    <t>South Elgin village, Illinois</t>
  </si>
  <si>
    <t>Zanesville city, Ohio</t>
  </si>
  <si>
    <t>Barstow city, California</t>
  </si>
  <si>
    <t>Florence town, Arizona</t>
  </si>
  <si>
    <t>Fort Dodge city, Iowa</t>
  </si>
  <si>
    <t>Kingsville city, Texas</t>
  </si>
  <si>
    <t>Homer Glen village, Illinois</t>
  </si>
  <si>
    <t>Greenbelt city, Maryland</t>
  </si>
  <si>
    <t>Athens city, Ohio</t>
  </si>
  <si>
    <t>Horizon City city, Texas</t>
  </si>
  <si>
    <t>Perry city, Georgia</t>
  </si>
  <si>
    <t>Mandan city, North Dakota</t>
  </si>
  <si>
    <t>Wadsworth city, Ohio</t>
  </si>
  <si>
    <t>Ennis city, Texas</t>
  </si>
  <si>
    <t>Hurricane city, Utah</t>
  </si>
  <si>
    <t>Avon town, Indiana</t>
  </si>
  <si>
    <t>San Benito city, Texas</t>
  </si>
  <si>
    <t>Payson city, Utah</t>
  </si>
  <si>
    <t>Romulus city, Michigan</t>
  </si>
  <si>
    <t>Barberton city, Ohio</t>
  </si>
  <si>
    <t>Bainbridge Island city, Washington</t>
  </si>
  <si>
    <t>West Haven city, Utah</t>
  </si>
  <si>
    <t>Groveland city, Florida</t>
  </si>
  <si>
    <t>Zion city, Illinois</t>
  </si>
  <si>
    <t>Ridgeland city, Mississippi</t>
  </si>
  <si>
    <t>Brookings city, South Dakota</t>
  </si>
  <si>
    <t>Benbrook city, Texas</t>
  </si>
  <si>
    <t>Selma city, California</t>
  </si>
  <si>
    <t>Decatur city, Georgia</t>
  </si>
  <si>
    <t>Newport city, Rhode Island</t>
  </si>
  <si>
    <t>Riverside city, Ohio</t>
  </si>
  <si>
    <t>Morton Grove village, Illinois</t>
  </si>
  <si>
    <t>Farmington city, Minnesota</t>
  </si>
  <si>
    <t>Corinth city, Texas</t>
  </si>
  <si>
    <t>Seal Beach city, California</t>
  </si>
  <si>
    <t>Van Buren city, Arkansas</t>
  </si>
  <si>
    <t>Emporia city, Kansas</t>
  </si>
  <si>
    <t>Edgewater city, Florida</t>
  </si>
  <si>
    <t>Glassboro borough, New Jersey</t>
  </si>
  <si>
    <t>Westmont village, Illinois</t>
  </si>
  <si>
    <t>Marshall city, Texas</t>
  </si>
  <si>
    <t>St. John town, Indiana</t>
  </si>
  <si>
    <t>Ponca City city, Oklahoma</t>
  </si>
  <si>
    <t>Wyandotte city, Michigan</t>
  </si>
  <si>
    <t>Willoughby city, Ohio</t>
  </si>
  <si>
    <t>Sandusky city, Ohio</t>
  </si>
  <si>
    <t>Kenmore city, Washington</t>
  </si>
  <si>
    <t>Oak Harbor city, Washington</t>
  </si>
  <si>
    <t>Clinton city, Iowa</t>
  </si>
  <si>
    <t>Watertown city, New York</t>
  </si>
  <si>
    <t>Melrose Park village, Illinois</t>
  </si>
  <si>
    <t>Searcy city, Arkansas</t>
  </si>
  <si>
    <t>Griffin city, Georgia</t>
  </si>
  <si>
    <t>Mustang city, Oklahoma</t>
  </si>
  <si>
    <t>Coralville city, Iowa</t>
  </si>
  <si>
    <t>Otsego city, Minnesota</t>
  </si>
  <si>
    <t>Solon city, Ohio</t>
  </si>
  <si>
    <t>Maywood city, California</t>
  </si>
  <si>
    <t>Roseburg city, Oregon</t>
  </si>
  <si>
    <t>Collinsville city, Illinois</t>
  </si>
  <si>
    <t>Kingston city, New York</t>
  </si>
  <si>
    <t>Rolling Meadows city, Illinois</t>
  </si>
  <si>
    <t>Clinton city, Utah</t>
  </si>
  <si>
    <t>Elmwood Park village, Illinois</t>
  </si>
  <si>
    <t>Fountain Hills town, Arizona</t>
  </si>
  <si>
    <t>Burlington city, Iowa</t>
  </si>
  <si>
    <t>Loves Park city, Illinois</t>
  </si>
  <si>
    <t>Munster town, Indiana</t>
  </si>
  <si>
    <t>Jacksonville Beach city, Florida</t>
  </si>
  <si>
    <t>Mesquite city, Nevada</t>
  </si>
  <si>
    <t>North Salt Lake city, Utah</t>
  </si>
  <si>
    <t>Pottstown borough, Pennsylvania</t>
  </si>
  <si>
    <t>Lisle village, Illinois</t>
  </si>
  <si>
    <t>West Memphis city, Arkansas</t>
  </si>
  <si>
    <t>Kankakee city, Illinois</t>
  </si>
  <si>
    <t>Webster Groves city, Missouri</t>
  </si>
  <si>
    <t>Waynesboro city, Virginia</t>
  </si>
  <si>
    <t>Highland town, Indiana</t>
  </si>
  <si>
    <t>Duarte city, California</t>
  </si>
  <si>
    <t>Watertown city, South Dakota</t>
  </si>
  <si>
    <t>San Fernando city, California</t>
  </si>
  <si>
    <t>White Bear Lake city, Minnesota</t>
  </si>
  <si>
    <t>DeBary city, Florida</t>
  </si>
  <si>
    <t>Hammond city, Louisiana</t>
  </si>
  <si>
    <t>Albertville city, Alabama</t>
  </si>
  <si>
    <t>Maywood village, Illinois</t>
  </si>
  <si>
    <t>Hialeah Gardens city, Florida</t>
  </si>
  <si>
    <t>Millbrae city, California</t>
  </si>
  <si>
    <t>Muscatine city, Iowa</t>
  </si>
  <si>
    <t>Sapulpa city, Oklahoma</t>
  </si>
  <si>
    <t>Ozark city, Missouri</t>
  </si>
  <si>
    <t>Oakdale city, California</t>
  </si>
  <si>
    <t>Waxhaw town, North Carolina</t>
  </si>
  <si>
    <t>Duncan city, Oklahoma</t>
  </si>
  <si>
    <t>Freeport city, Illinois</t>
  </si>
  <si>
    <t>Watauga city, Texas</t>
  </si>
  <si>
    <t>Summit city, New Jersey</t>
  </si>
  <si>
    <t>Maple Heights city, Ohio</t>
  </si>
  <si>
    <t>Hudson city, Ohio</t>
  </si>
  <si>
    <t>Trotwood city, Ohio</t>
  </si>
  <si>
    <t>North Plainfield borough, New Jersey</t>
  </si>
  <si>
    <t>Roselle borough, New Jersey</t>
  </si>
  <si>
    <t>Suwanee city, Georgia</t>
  </si>
  <si>
    <t>Marina city, California</t>
  </si>
  <si>
    <t>Champlin city, Minnesota</t>
  </si>
  <si>
    <t>Chambersburg borough, Pennsylvania</t>
  </si>
  <si>
    <t>Keene city, New Hampshire</t>
  </si>
  <si>
    <t>Central Falls city, Rhode Island</t>
  </si>
  <si>
    <t>Garden City village, New York</t>
  </si>
  <si>
    <t>Terrell city, Texas</t>
  </si>
  <si>
    <t>Hopewell city, Virginia</t>
  </si>
  <si>
    <t>Rock Springs city, Wyoming</t>
  </si>
  <si>
    <t>Battle Ground city, Washington</t>
  </si>
  <si>
    <t>Portsmouth city, New Hampshire</t>
  </si>
  <si>
    <t>Prairie Village city, Kansas</t>
  </si>
  <si>
    <t>North Ogden city, Utah</t>
  </si>
  <si>
    <t>Alton city, Texas</t>
  </si>
  <si>
    <t>Sunny Isles Beach city, Florida</t>
  </si>
  <si>
    <t>Roselle village, Illinois</t>
  </si>
  <si>
    <t>Machesney Park village, Illinois</t>
  </si>
  <si>
    <t>Columbus city, Mississippi</t>
  </si>
  <si>
    <t>Shelby city, North Carolina</t>
  </si>
  <si>
    <t>Lino Lakes city, Minnesota</t>
  </si>
  <si>
    <t>West Chester borough, Pennsylvania</t>
  </si>
  <si>
    <t>Shafter city, California</t>
  </si>
  <si>
    <t>Boerne city, Texas</t>
  </si>
  <si>
    <t>Secaucus town, New Jersey</t>
  </si>
  <si>
    <t>Radcliff city, Kentucky</t>
  </si>
  <si>
    <t>Greenwood city, South Carolina</t>
  </si>
  <si>
    <t>Christiansburg town, Virginia</t>
  </si>
  <si>
    <t>Corcoran city, California</t>
  </si>
  <si>
    <t>Acworth city, Georgia</t>
  </si>
  <si>
    <t>Bloomingdale village, Illinois</t>
  </si>
  <si>
    <t>Watertown city, Wisconsin</t>
  </si>
  <si>
    <t>Altoona city, Iowa</t>
  </si>
  <si>
    <t>Oxford city, Ohio</t>
  </si>
  <si>
    <t>Middleton city, Wisconsin</t>
  </si>
  <si>
    <t>Laguna Beach city, California</t>
  </si>
  <si>
    <t>North Platte city, Nebraska</t>
  </si>
  <si>
    <t>Big Spring city, Texas</t>
  </si>
  <si>
    <t>Seymour city, Indiana</t>
  </si>
  <si>
    <t>Carlisle borough, Pennsylvania</t>
  </si>
  <si>
    <t>Hastings city, Minnesota</t>
  </si>
  <si>
    <t>Sanford city, Maine</t>
  </si>
  <si>
    <t>Clemmons village, North Carolina</t>
  </si>
  <si>
    <t>La Porte city, Indiana</t>
  </si>
  <si>
    <t>Evans city, Colorado</t>
  </si>
  <si>
    <t>New Brighton city, Minnesota</t>
  </si>
  <si>
    <t>Biddeford city, Maine</t>
  </si>
  <si>
    <t>Columbia Heights city, Minnesota</t>
  </si>
  <si>
    <t>Snellville city, Georgia</t>
  </si>
  <si>
    <t>Ruston city, Louisiana</t>
  </si>
  <si>
    <t>Sedalia city, Missouri</t>
  </si>
  <si>
    <t>Zephyrhills city, Florida</t>
  </si>
  <si>
    <t>Bryant city, Arkansas</t>
  </si>
  <si>
    <t>Calabasas city, California</t>
  </si>
  <si>
    <t>Carbondale city, Illinois</t>
  </si>
  <si>
    <t>Helena city, Alabama</t>
  </si>
  <si>
    <t>Birmingham city, Michigan</t>
  </si>
  <si>
    <t>Harrison town, New Jersey</t>
  </si>
  <si>
    <t>Klamath Falls city, Oregon</t>
  </si>
  <si>
    <t>Stephenville city, Texas</t>
  </si>
  <si>
    <t>Bonney Lake city, Washington</t>
  </si>
  <si>
    <t>Imperial city, California</t>
  </si>
  <si>
    <t>Oxford city, Alabama</t>
  </si>
  <si>
    <t>Bartow city, Florida</t>
  </si>
  <si>
    <t>Crystal city, Minnesota</t>
  </si>
  <si>
    <t>Junction City city, Kansas</t>
  </si>
  <si>
    <t>Clarksville town, Indiana</t>
  </si>
  <si>
    <t>East Peoria city, Illinois</t>
  </si>
  <si>
    <t>Villa Park village, Illinois</t>
  </si>
  <si>
    <t>Darien city, Illinois</t>
  </si>
  <si>
    <t>Tavares city, Florida</t>
  </si>
  <si>
    <t>Lebanon city, Ohio</t>
  </si>
  <si>
    <t>Hanahan city, South Carolina</t>
  </si>
  <si>
    <t>East Ridge city, Tennessee</t>
  </si>
  <si>
    <t>Howard village, Wisconsin</t>
  </si>
  <si>
    <t>Arlington city, Washington</t>
  </si>
  <si>
    <t>Montgomery village, Illinois</t>
  </si>
  <si>
    <t>Lynn Haven city, Florida</t>
  </si>
  <si>
    <t>Dickinson city, Texas</t>
  </si>
  <si>
    <t>West St. Paul city, Minnesota</t>
  </si>
  <si>
    <t>Lindenwold borough, New Jersey</t>
  </si>
  <si>
    <t>North Liberty city, Iowa</t>
  </si>
  <si>
    <t>Willmar city, Minnesota</t>
  </si>
  <si>
    <t>Yucca Valley town, California</t>
  </si>
  <si>
    <t>Marquette city, Michigan</t>
  </si>
  <si>
    <t>Knightdale town, North Carolina</t>
  </si>
  <si>
    <t>Blue Island city, Illinois</t>
  </si>
  <si>
    <t>Pleasant Prairie village, Wisconsin</t>
  </si>
  <si>
    <t>Chillicothe city, Ohio</t>
  </si>
  <si>
    <t>American Canyon city, California</t>
  </si>
  <si>
    <t>South Burlington city, Vermont</t>
  </si>
  <si>
    <t>Mountain Brook city, Alabama</t>
  </si>
  <si>
    <t>Cudahy city, California</t>
  </si>
  <si>
    <t>St. Michael city, Minnesota</t>
  </si>
  <si>
    <t>Elmwood Park borough, New Jersey</t>
  </si>
  <si>
    <t>Montrose city, Colorado</t>
  </si>
  <si>
    <t>Tukwila city, Washington</t>
  </si>
  <si>
    <t>Milwaukie city, Oregon</t>
  </si>
  <si>
    <t>Covington city, Washington</t>
  </si>
  <si>
    <t>Alliance city, Ohio</t>
  </si>
  <si>
    <t>Manor city, Texas</t>
  </si>
  <si>
    <t>Pascagoula city, Mississippi</t>
  </si>
  <si>
    <t>Rocky River city, Ohio</t>
  </si>
  <si>
    <t>Culpeper town, Virginia</t>
  </si>
  <si>
    <t>Republic city, Missouri</t>
  </si>
  <si>
    <t>Westbrook city, Maine</t>
  </si>
  <si>
    <t>Gardner city, Massachusetts</t>
  </si>
  <si>
    <t>South Euclid city, Ohio</t>
  </si>
  <si>
    <t>New Castle city, Pennsylvania</t>
  </si>
  <si>
    <t>Port Hueneme city, California</t>
  </si>
  <si>
    <t>Sweetwater city, Florida</t>
  </si>
  <si>
    <t>Northfield city, Minnesota</t>
  </si>
  <si>
    <t>Mineola village, New York</t>
  </si>
  <si>
    <t>Mukilteo city, Washington</t>
  </si>
  <si>
    <t>Del City city, Oklahoma</t>
  </si>
  <si>
    <t>Golden Valley city, Minnesota</t>
  </si>
  <si>
    <t>Grayslake village, Illinois</t>
  </si>
  <si>
    <t>South Lake Tahoe city, California</t>
  </si>
  <si>
    <t>Hays city, Kansas</t>
  </si>
  <si>
    <t>Fort Walton Beach city, Florida</t>
  </si>
  <si>
    <t>Geneva city, Illinois</t>
  </si>
  <si>
    <t>Frankfort village, Illinois</t>
  </si>
  <si>
    <t>Highland city, Utah</t>
  </si>
  <si>
    <t>Anniston city, Alabama</t>
  </si>
  <si>
    <t>Murphy city, Texas</t>
  </si>
  <si>
    <t>Mount Pleasant city, Michigan</t>
  </si>
  <si>
    <t>Carrboro town, North Carolina</t>
  </si>
  <si>
    <t>Ashland city, Kentucky</t>
  </si>
  <si>
    <t>Saco city, Maine</t>
  </si>
  <si>
    <t>Hyattsville city, Maryland</t>
  </si>
  <si>
    <t>Greenfield city, California</t>
  </si>
  <si>
    <t>Arnold city, Missouri</t>
  </si>
  <si>
    <t>Tullahoma city, Tennessee</t>
  </si>
  <si>
    <t>Germantown village, Wisconsin</t>
  </si>
  <si>
    <t>Park Forest village, Illinois</t>
  </si>
  <si>
    <t>Ellensburg city, Washington</t>
  </si>
  <si>
    <t>East Moline city, Illinois</t>
  </si>
  <si>
    <t>Mill Creek city, Washington</t>
  </si>
  <si>
    <t>Angleton city, Texas</t>
  </si>
  <si>
    <t>Piqua city, Ohio</t>
  </si>
  <si>
    <t>Ashland city, Oregon</t>
  </si>
  <si>
    <t>Pleasantville city, New Jersey</t>
  </si>
  <si>
    <t>Durant city, Oklahoma</t>
  </si>
  <si>
    <t>Shelbyville city, Indiana</t>
  </si>
  <si>
    <t>Elko city, Nevada</t>
  </si>
  <si>
    <t>Louisville city, Colorado</t>
  </si>
  <si>
    <t>North Myrtle Beach city, South Carolina</t>
  </si>
  <si>
    <t>Kingsland city, Georgia</t>
  </si>
  <si>
    <t>South Holland village, Illinois</t>
  </si>
  <si>
    <t>New Hope city, Minnesota</t>
  </si>
  <si>
    <t>Morristown town, New Jersey</t>
  </si>
  <si>
    <t>Murrysville municipality, Pennsylvania</t>
  </si>
  <si>
    <t>Portland city, Texas</t>
  </si>
  <si>
    <t>Baldwin borough, Pennsylvania</t>
  </si>
  <si>
    <t>Forest Lake city, Minnesota</t>
  </si>
  <si>
    <t>Dolton village, Illinois</t>
  </si>
  <si>
    <t>Alamo city, Texas</t>
  </si>
  <si>
    <t>Lynbrook village, New York</t>
  </si>
  <si>
    <t>Westminster city, Maryland</t>
  </si>
  <si>
    <t>Rolla city, Missouri</t>
  </si>
  <si>
    <t>Painesville city, Ohio</t>
  </si>
  <si>
    <t>Auburndale city, Florida</t>
  </si>
  <si>
    <t>Mebane city, North Carolina</t>
  </si>
  <si>
    <t>Libertyville village, Illinois</t>
  </si>
  <si>
    <t>Johnstown town, Colorado</t>
  </si>
  <si>
    <t>Winder city, Georgia</t>
  </si>
  <si>
    <t>Claremore city, Oklahoma</t>
  </si>
  <si>
    <t>South St. Paul city, Minnesota</t>
  </si>
  <si>
    <t>Sulphur city, Louisiana</t>
  </si>
  <si>
    <t>Pittsburg city, Kansas</t>
  </si>
  <si>
    <t>Parma Heights city, Ohio</t>
  </si>
  <si>
    <t>Palisades Park borough, New Jersey</t>
  </si>
  <si>
    <t>Crowley city, Texas</t>
  </si>
  <si>
    <t>Sherwood city, Oregon</t>
  </si>
  <si>
    <t>Bethany city, Oklahoma</t>
  </si>
  <si>
    <t>Fayetteville city, Georgia</t>
  </si>
  <si>
    <t>Punta Gorda city, Florida</t>
  </si>
  <si>
    <t>Lockport city, New York</t>
  </si>
  <si>
    <t>Sidney city, Ohio</t>
  </si>
  <si>
    <t>Zachary city, Louisiana</t>
  </si>
  <si>
    <t>Gallup city, New Mexico</t>
  </si>
  <si>
    <t>Harrisburg town, North Carolina</t>
  </si>
  <si>
    <t>Sand Springs city, Oklahoma</t>
  </si>
  <si>
    <t>Brigham City city, Utah</t>
  </si>
  <si>
    <t>Dixon city, California</t>
  </si>
  <si>
    <t>Phoenixville borough, Pennsylvania</t>
  </si>
  <si>
    <t>Universal City city, Texas</t>
  </si>
  <si>
    <t>Adrian city, Michigan</t>
  </si>
  <si>
    <t>Miamisburg city, Ohio</t>
  </si>
  <si>
    <t>Cullman city, Alabama</t>
  </si>
  <si>
    <t>South Milwaukee city, Wisconsin</t>
  </si>
  <si>
    <t>Crest Hill city, Illinois</t>
  </si>
  <si>
    <t>La Marque city, Texas</t>
  </si>
  <si>
    <t>Monroe city, Michigan</t>
  </si>
  <si>
    <t>Erlanger city, Kentucky</t>
  </si>
  <si>
    <t>Naples city, Florida</t>
  </si>
  <si>
    <t>Golden city, Colorado</t>
  </si>
  <si>
    <t>Ypsilanti city, Michigan</t>
  </si>
  <si>
    <t>Holly Springs city, Georgia</t>
  </si>
  <si>
    <t>Seagoville city, Texas</t>
  </si>
  <si>
    <t>St. Marys city, Georgia</t>
  </si>
  <si>
    <t>Port Angeles city, Washington</t>
  </si>
  <si>
    <t>Conyers city, Georgia</t>
  </si>
  <si>
    <t>Villa Rica city, Georgia</t>
  </si>
  <si>
    <t>Ammon city, Idaho</t>
  </si>
  <si>
    <t>Boone town, North Carolina</t>
  </si>
  <si>
    <t>Siloam Springs city, Arkansas</t>
  </si>
  <si>
    <t>El Reno city, Oklahoma</t>
  </si>
  <si>
    <t>Forest Park city, Ohio</t>
  </si>
  <si>
    <t>Vicksburg city, Mississippi</t>
  </si>
  <si>
    <t>Hawthorne borough, New Jersey</t>
  </si>
  <si>
    <t>Oconomowoc city, Wisconsin</t>
  </si>
  <si>
    <t>Whitehall city, Ohio</t>
  </si>
  <si>
    <t>Monroe city, Washington</t>
  </si>
  <si>
    <t>Mayfield Heights city, Ohio</t>
  </si>
  <si>
    <t>Lomita city, California</t>
  </si>
  <si>
    <t>Mamaroneck village, New York</t>
  </si>
  <si>
    <t>Harvey city, Illinois</t>
  </si>
  <si>
    <t>Oroville city, California</t>
  </si>
  <si>
    <t>La Cañada Flintridge city, California</t>
  </si>
  <si>
    <t>Albany city, California</t>
  </si>
  <si>
    <t>Agoura Hills city, California</t>
  </si>
  <si>
    <t>Plainview city, Texas</t>
  </si>
  <si>
    <t>Coronado city, California</t>
  </si>
  <si>
    <t>table with row headers in column B and column headers in rows 3 through 4 (leading dots indicate sub-parts)</t>
  </si>
  <si>
    <t>Rank</t>
  </si>
  <si>
    <t>Geographic Area</t>
  </si>
  <si>
    <t>April 1, 2020
Estimates Base</t>
  </si>
  <si>
    <t>Population Estimate (as of July 1)</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</si>
  <si>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</si>
  <si>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Suggested Citation:</t>
  </si>
  <si>
    <t>Annual Estimates of the Resident Population for Incorporated Places of 20,000 or More, Ranked by July 1, 2024 Population: April 1, 2020 to July 1, 2024 (SUB-IP-EST2024-ANNRNK)</t>
  </si>
  <si>
    <t>Source: U.S. Census Bureau, Population Division</t>
  </si>
  <si>
    <t>Release Date: May 2025</t>
  </si>
  <si>
    <t>Annual Estimates of the Resident Population for Incorporated Places of 20,000 or More, Ranked by July 1, 2024 Population: April 1, 2020 to July 1, 2024</t>
  </si>
  <si>
    <t xml:space="preserve">Note: An incorporated place is included if it had a population of 20,000 or more at any point during the time series. The rank is based on the July 1, 2024 population.The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</si>
  <si>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State</t>
  </si>
  <si>
    <t>City</t>
  </si>
  <si>
    <t>City Count</t>
  </si>
  <si>
    <t>Population</t>
  </si>
  <si>
    <t>Completed</t>
  </si>
  <si>
    <t>AZ</t>
  </si>
  <si>
    <t>StateAbb</t>
  </si>
  <si>
    <t>City/Location</t>
  </si>
  <si>
    <t>CA</t>
  </si>
  <si>
    <t>FL</t>
  </si>
  <si>
    <t>IL</t>
  </si>
  <si>
    <t>MI</t>
  </si>
  <si>
    <t>NJ</t>
  </si>
  <si>
    <t>NV</t>
  </si>
  <si>
    <t>NY</t>
  </si>
  <si>
    <t>OH</t>
  </si>
  <si>
    <t>PA</t>
  </si>
  <si>
    <t>TX</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</si>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</sst>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
      <sz val="11"/>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8">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theme="0" tint="-0.14996795556505021"/>
      </left>
      <right style="thin">
        <color theme="0" tint="-0.14996795556505021"/>
      </right>
      <top/>
      <bottom/>
      <diagonal/>
    </border>
  </borders>
  <cellStyleXfs count="2">
    <xf numFmtId="0" fontId="0" fillId="0" borderId="0"/>
    <xf numFmtId="43" fontId="6" fillId="0" borderId="0" applyFont="0" applyFill="0" applyBorder="0" applyAlignment="0" applyProtection="0"/>
  </cellStyleXfs>
  <cellXfs count="37">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2" xfId="0" applyBorder="1" applyProtection="1">
      <protection locked="0"/>
    </xf>
    <xf numFmtId="3" fontId="0" fillId="0" borderId="12" xfId="0" applyNumberFormat="1" applyBorder="1" applyAlignment="1" applyProtection="1">
      <alignment horizontal="right"/>
      <protection locked="0"/>
    </xf>
    <xf numFmtId="0" fontId="0" fillId="0" borderId="11" xfId="0" applyBorder="1" applyProtection="1">
      <protection locked="0"/>
    </xf>
    <xf numFmtId="3" fontId="0" fillId="0" borderId="11" xfId="0" applyNumberFormat="1" applyBorder="1" applyAlignment="1" applyProtection="1">
      <alignment horizontal="right"/>
      <protection locked="0"/>
    </xf>
    <xf numFmtId="0" fontId="0" fillId="0" borderId="12" xfId="0" applyBorder="1" applyAlignment="1" applyProtection="1">
      <alignment horizontal="center"/>
      <protection locked="0"/>
    </xf>
    <xf numFmtId="0" fontId="0" fillId="0" borderId="11" xfId="0" applyBorder="1" applyAlignment="1" applyProtection="1">
      <alignment horizontal="center"/>
      <protection locked="0"/>
    </xf>
    <xf numFmtId="0" fontId="0" fillId="2" borderId="17" xfId="0" applyFill="1" applyBorder="1" applyProtection="1">
      <protection locked="0"/>
    </xf>
    <xf numFmtId="164" fontId="0" fillId="0" borderId="0" xfId="1" applyNumberFormat="1" applyFont="1"/>
    <xf numFmtId="0" fontId="1" fillId="0" borderId="8" xfId="0" applyFont="1" applyBorder="1" applyAlignment="1">
      <alignment horizontal="center"/>
    </xf>
    <xf numFmtId="0" fontId="5" fillId="3" borderId="13" xfId="0" applyFont="1" applyFill="1" applyBorder="1" applyProtection="1">
      <protection locked="0"/>
    </xf>
    <xf numFmtId="0" fontId="5" fillId="3" borderId="8" xfId="0" applyFont="1" applyFill="1" applyBorder="1"/>
    <xf numFmtId="0" fontId="5" fillId="3" borderId="16" xfId="0" applyFont="1" applyFill="1" applyBorder="1"/>
    <xf numFmtId="0" fontId="2" fillId="2" borderId="10"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0" xfId="0" applyFont="1" applyFill="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0" xfId="0" applyFont="1" applyFill="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6" xfId="0" applyFont="1" applyBorder="1" applyAlignment="1">
      <alignment wrapText="1"/>
    </xf>
    <xf numFmtId="0" fontId="4" fillId="0" borderId="4" xfId="0" applyFont="1" applyBorder="1" applyAlignment="1" applyProtection="1">
      <alignment wrapText="1"/>
      <protection locked="0"/>
    </xf>
    <xf numFmtId="0" fontId="4" fillId="0" borderId="5" xfId="0" applyFont="1" applyBorder="1" applyAlignment="1">
      <alignment wrapText="1"/>
    </xf>
    <xf numFmtId="0" fontId="4" fillId="0" borderId="7" xfId="0" applyFont="1" applyBorder="1" applyAlignment="1">
      <alignment wrapText="1"/>
    </xf>
    <xf numFmtId="0" fontId="5" fillId="3" borderId="2" xfId="0" applyFont="1" applyFill="1" applyBorder="1" applyProtection="1">
      <protection locked="0"/>
    </xf>
    <xf numFmtId="0" fontId="5" fillId="3" borderId="3" xfId="0" applyFont="1" applyFill="1" applyBorder="1"/>
    <xf numFmtId="0" fontId="5" fillId="3" borderId="14" xfId="0" applyFont="1" applyFill="1" applyBorder="1"/>
    <xf numFmtId="0" fontId="5" fillId="3" borderId="1" xfId="0" applyFont="1" applyFill="1" applyBorder="1" applyAlignment="1" applyProtection="1">
      <alignment wrapText="1"/>
      <protection locked="0"/>
    </xf>
    <xf numFmtId="0" fontId="5" fillId="3" borderId="0" xfId="0" applyFont="1" applyFill="1"/>
    <xf numFmtId="0" fontId="5" fillId="3" borderId="15" xfId="0" applyFont="1" applyFill="1" applyBorder="1"/>
    <xf numFmtId="0" fontId="1" fillId="0" borderId="8"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945"/>
  <sheetViews>
    <sheetView topLeftCell="E1" workbookViewId="0">
      <pane ySplit="4" topLeftCell="A5" activePane="bottomLeft" state="frozen"/>
      <selection pane="bottomLeft" activeCell="I12" sqref="I12"/>
    </sheetView>
  </sheetViews>
  <sheetFormatPr baseColWidth="10" defaultColWidth="8.6640625" defaultRowHeight="15" x14ac:dyDescent="0.2"/>
  <cols>
    <col min="1" max="1" width="8.5" style="1" customWidth="1"/>
    <col min="2" max="2" width="63.6640625" style="1" customWidth="1"/>
    <col min="3" max="8" width="17.5" style="1" customWidth="1"/>
    <col min="9" max="9" width="16.83203125" style="1" bestFit="1" customWidth="1"/>
    <col min="10" max="10" width="49.33203125" style="1" bestFit="1" customWidth="1"/>
    <col min="11" max="16384" width="8.6640625" style="1"/>
  </cols>
  <sheetData>
    <row r="1" spans="1:18" ht="2.25" customHeight="1" x14ac:dyDescent="0.2">
      <c r="A1" s="17" t="s">
        <v>1935</v>
      </c>
      <c r="B1" s="17"/>
      <c r="C1" s="17"/>
      <c r="D1" s="17"/>
      <c r="E1" s="17"/>
      <c r="F1" s="17"/>
      <c r="G1" s="17"/>
      <c r="H1" s="17"/>
    </row>
    <row r="2" spans="1:18" ht="22.5" customHeight="1" x14ac:dyDescent="0.2">
      <c r="A2" s="18" t="s">
        <v>1945</v>
      </c>
      <c r="B2" s="19"/>
      <c r="C2" s="19"/>
      <c r="D2" s="19"/>
      <c r="E2" s="19"/>
      <c r="F2" s="19"/>
      <c r="G2" s="19"/>
      <c r="H2" s="19"/>
    </row>
    <row r="3" spans="1:18" s="2" customFormat="1" x14ac:dyDescent="0.2">
      <c r="A3" s="20" t="s">
        <v>1936</v>
      </c>
      <c r="B3" s="24" t="s">
        <v>1937</v>
      </c>
      <c r="C3" s="24" t="s">
        <v>1938</v>
      </c>
      <c r="D3" s="22" t="s">
        <v>1939</v>
      </c>
      <c r="E3" s="23"/>
      <c r="F3" s="23"/>
      <c r="G3" s="23"/>
      <c r="H3" s="23"/>
      <c r="J3" s="11"/>
      <c r="K3" s="11"/>
      <c r="L3" s="11"/>
      <c r="M3" s="11"/>
      <c r="N3" s="11"/>
      <c r="O3" s="11"/>
      <c r="P3" s="11"/>
      <c r="Q3" s="11"/>
      <c r="R3" s="11"/>
    </row>
    <row r="4" spans="1:18" s="4" customFormat="1" x14ac:dyDescent="0.2">
      <c r="A4" s="21"/>
      <c r="B4" s="21"/>
      <c r="C4" s="21"/>
      <c r="D4" s="3">
        <v>2020</v>
      </c>
      <c r="E4" s="3">
        <v>2021</v>
      </c>
      <c r="F4" s="3">
        <v>2022</v>
      </c>
      <c r="G4" s="3">
        <v>2023</v>
      </c>
      <c r="H4" s="3">
        <v>2024</v>
      </c>
      <c r="I4" s="4" t="s">
        <v>1947</v>
      </c>
      <c r="J4" s="4" t="s">
        <v>1948</v>
      </c>
    </row>
    <row r="5" spans="1:18" x14ac:dyDescent="0.2">
      <c r="A5" s="9">
        <v>1</v>
      </c>
      <c r="B5" s="5" t="s">
        <v>0</v>
      </c>
      <c r="C5" s="6">
        <v>8805594</v>
      </c>
      <c r="D5" s="6">
        <v>8740306</v>
      </c>
      <c r="E5" s="6">
        <v>8453772</v>
      </c>
      <c r="F5" s="6">
        <v>8356179</v>
      </c>
      <c r="G5" s="6">
        <v>8390888</v>
      </c>
      <c r="H5" s="6">
        <v>8478072</v>
      </c>
      <c r="I5" s="1" t="str">
        <f>_xlfn.TEXTAFTER(B5,",")</f>
        <v xml:space="preserve"> New York</v>
      </c>
      <c r="J5" s="1" t="str">
        <f>_xlfn.TEXTBEFORE(B5,", ")</f>
        <v>New York city</v>
      </c>
      <c r="K5" s="1">
        <f>IF(COUNTIF($I$5:I5,I5)=1,1,0)</f>
        <v>1</v>
      </c>
    </row>
    <row r="6" spans="1:18" x14ac:dyDescent="0.2">
      <c r="A6" s="9">
        <v>2</v>
      </c>
      <c r="B6" s="5" t="s">
        <v>1</v>
      </c>
      <c r="C6" s="6">
        <v>3899449</v>
      </c>
      <c r="D6" s="6">
        <v>3896329</v>
      </c>
      <c r="E6" s="6">
        <v>3830987</v>
      </c>
      <c r="F6" s="6">
        <v>3832998</v>
      </c>
      <c r="G6" s="6">
        <v>3847428</v>
      </c>
      <c r="H6" s="6">
        <v>3878704</v>
      </c>
      <c r="I6" s="1" t="str">
        <f t="shared" ref="I6:I69" si="0">_xlfn.TEXTAFTER(B6,",")</f>
        <v xml:space="preserve"> California</v>
      </c>
      <c r="J6" s="1" t="str">
        <f t="shared" ref="J6:J69" si="1">_xlfn.TEXTBEFORE(B6,", ")</f>
        <v>Los Angeles city</v>
      </c>
      <c r="K6" s="1">
        <f>IF(COUNTIF($I$5:I6,I6)=1,1,0)</f>
        <v>1</v>
      </c>
    </row>
    <row r="7" spans="1:18" x14ac:dyDescent="0.2">
      <c r="A7" s="9">
        <v>3</v>
      </c>
      <c r="B7" s="5" t="s">
        <v>2</v>
      </c>
      <c r="C7" s="6">
        <v>2748331</v>
      </c>
      <c r="D7" s="6">
        <v>2745196</v>
      </c>
      <c r="E7" s="6">
        <v>2706324</v>
      </c>
      <c r="F7" s="6">
        <v>2684076</v>
      </c>
      <c r="G7" s="6">
        <v>2699144</v>
      </c>
      <c r="H7" s="6">
        <v>2721308</v>
      </c>
      <c r="I7" s="1" t="str">
        <f t="shared" si="0"/>
        <v xml:space="preserve"> Illinois</v>
      </c>
      <c r="J7" s="1" t="str">
        <f t="shared" si="1"/>
        <v>Chicago city</v>
      </c>
      <c r="K7" s="1">
        <f>IF(COUNTIF($I$5:I7,I7)=1,1,0)</f>
        <v>1</v>
      </c>
    </row>
    <row r="8" spans="1:18" x14ac:dyDescent="0.2">
      <c r="A8" s="9">
        <v>4</v>
      </c>
      <c r="B8" s="5" t="s">
        <v>3</v>
      </c>
      <c r="C8" s="6">
        <v>2300351</v>
      </c>
      <c r="D8" s="6">
        <v>2298945</v>
      </c>
      <c r="E8" s="6">
        <v>2291070</v>
      </c>
      <c r="F8" s="6">
        <v>2314258</v>
      </c>
      <c r="G8" s="6">
        <v>2346908</v>
      </c>
      <c r="H8" s="6">
        <v>2390125</v>
      </c>
      <c r="I8" s="1" t="str">
        <f t="shared" si="0"/>
        <v xml:space="preserve"> Texas</v>
      </c>
      <c r="J8" s="1" t="str">
        <f t="shared" si="1"/>
        <v>Houston city</v>
      </c>
      <c r="K8" s="1">
        <f>IF(COUNTIF($I$5:I8,I8)=1,1,0)</f>
        <v>1</v>
      </c>
    </row>
    <row r="9" spans="1:18" x14ac:dyDescent="0.2">
      <c r="A9" s="9">
        <v>5</v>
      </c>
      <c r="B9" s="5" t="s">
        <v>4</v>
      </c>
      <c r="C9" s="6">
        <v>1608415</v>
      </c>
      <c r="D9" s="6">
        <v>1612593</v>
      </c>
      <c r="E9" s="6">
        <v>1625132</v>
      </c>
      <c r="F9" s="6">
        <v>1644798</v>
      </c>
      <c r="G9" s="6">
        <v>1656231</v>
      </c>
      <c r="H9" s="6">
        <v>1673164</v>
      </c>
      <c r="I9" s="1" t="str">
        <f t="shared" si="0"/>
        <v xml:space="preserve"> Arizona</v>
      </c>
      <c r="J9" s="1" t="str">
        <f t="shared" si="1"/>
        <v>Phoenix city</v>
      </c>
      <c r="K9" s="1">
        <f>IF(COUNTIF($I$5:I9,I9)=1,1,0)</f>
        <v>1</v>
      </c>
    </row>
    <row r="10" spans="1:18" x14ac:dyDescent="0.2">
      <c r="A10" s="9">
        <v>6</v>
      </c>
      <c r="B10" s="5" t="s">
        <v>5</v>
      </c>
      <c r="C10" s="6">
        <v>1603794</v>
      </c>
      <c r="D10" s="6">
        <v>1600788</v>
      </c>
      <c r="E10" s="6">
        <v>1589918</v>
      </c>
      <c r="F10" s="6">
        <v>1570554</v>
      </c>
      <c r="G10" s="6">
        <v>1563349</v>
      </c>
      <c r="H10" s="6">
        <v>1573916</v>
      </c>
      <c r="I10" s="1" t="str">
        <f t="shared" si="0"/>
        <v xml:space="preserve"> Pennsylvania</v>
      </c>
      <c r="J10" s="1" t="str">
        <f t="shared" si="1"/>
        <v>Philadelphia city</v>
      </c>
      <c r="K10" s="1">
        <f>IF(COUNTIF($I$5:I10,I10)=1,1,0)</f>
        <v>1</v>
      </c>
    </row>
    <row r="11" spans="1:18" x14ac:dyDescent="0.2">
      <c r="A11" s="9">
        <v>7</v>
      </c>
      <c r="B11" s="5" t="s">
        <v>6</v>
      </c>
      <c r="C11" s="6">
        <v>1434322</v>
      </c>
      <c r="D11" s="6">
        <v>1439340</v>
      </c>
      <c r="E11" s="6">
        <v>1454238</v>
      </c>
      <c r="F11" s="6">
        <v>1475931</v>
      </c>
      <c r="G11" s="6">
        <v>1502711</v>
      </c>
      <c r="H11" s="6">
        <v>1526656</v>
      </c>
      <c r="I11" s="1" t="str">
        <f t="shared" si="0"/>
        <v xml:space="preserve"> Texas</v>
      </c>
      <c r="J11" s="1" t="str">
        <f t="shared" si="1"/>
        <v>San Antonio city</v>
      </c>
      <c r="K11" s="1">
        <f>IF(COUNTIF($I$5:I11,I11)=1,1,0)</f>
        <v>0</v>
      </c>
    </row>
    <row r="12" spans="1:18" x14ac:dyDescent="0.2">
      <c r="A12" s="9">
        <v>8</v>
      </c>
      <c r="B12" s="5" t="s">
        <v>7</v>
      </c>
      <c r="C12" s="6">
        <v>1384429</v>
      </c>
      <c r="D12" s="6">
        <v>1384824</v>
      </c>
      <c r="E12" s="6">
        <v>1374972</v>
      </c>
      <c r="F12" s="6">
        <v>1388730</v>
      </c>
      <c r="G12" s="6">
        <v>1394555</v>
      </c>
      <c r="H12" s="6">
        <v>1404452</v>
      </c>
      <c r="I12" s="1" t="str">
        <f t="shared" si="0"/>
        <v xml:space="preserve"> California</v>
      </c>
      <c r="J12" s="1" t="str">
        <f t="shared" si="1"/>
        <v>San Diego city</v>
      </c>
      <c r="K12" s="1">
        <f>IF(COUNTIF($I$5:I12,I12)=1,1,0)</f>
        <v>0</v>
      </c>
    </row>
    <row r="13" spans="1:18" x14ac:dyDescent="0.2">
      <c r="A13" s="9">
        <v>9</v>
      </c>
      <c r="B13" s="5" t="s">
        <v>8</v>
      </c>
      <c r="C13" s="6">
        <v>1304345</v>
      </c>
      <c r="D13" s="6">
        <v>1303426</v>
      </c>
      <c r="E13" s="6">
        <v>1290070</v>
      </c>
      <c r="F13" s="6">
        <v>1303012</v>
      </c>
      <c r="G13" s="6">
        <v>1317163</v>
      </c>
      <c r="H13" s="6">
        <v>1326087</v>
      </c>
      <c r="I13" s="1" t="str">
        <f t="shared" si="0"/>
        <v xml:space="preserve"> Texas</v>
      </c>
      <c r="J13" s="1" t="str">
        <f t="shared" si="1"/>
        <v>Dallas city</v>
      </c>
      <c r="K13" s="1">
        <f>IF(COUNTIF($I$5:I13,I13)=1,1,0)</f>
        <v>0</v>
      </c>
    </row>
    <row r="14" spans="1:18" x14ac:dyDescent="0.2">
      <c r="A14" s="9">
        <v>10</v>
      </c>
      <c r="B14" s="5" t="s">
        <v>9</v>
      </c>
      <c r="C14" s="6">
        <v>949618</v>
      </c>
      <c r="D14" s="6">
        <v>951925</v>
      </c>
      <c r="E14" s="6">
        <v>957537</v>
      </c>
      <c r="F14" s="6">
        <v>975614</v>
      </c>
      <c r="G14" s="6">
        <v>993468</v>
      </c>
      <c r="H14" s="6">
        <v>1009833</v>
      </c>
      <c r="I14" s="1" t="str">
        <f t="shared" si="0"/>
        <v xml:space="preserve"> Florida</v>
      </c>
      <c r="J14" s="1" t="str">
        <f t="shared" si="1"/>
        <v>Jacksonville city</v>
      </c>
      <c r="K14" s="1">
        <f>IF(COUNTIF($I$5:I14,I14)=1,1,0)</f>
        <v>1</v>
      </c>
    </row>
    <row r="15" spans="1:18" x14ac:dyDescent="0.2">
      <c r="A15" s="9">
        <v>11</v>
      </c>
      <c r="B15" s="5" t="s">
        <v>10</v>
      </c>
      <c r="C15" s="6">
        <v>918923</v>
      </c>
      <c r="D15" s="6">
        <v>923645</v>
      </c>
      <c r="E15" s="6">
        <v>937692</v>
      </c>
      <c r="F15" s="6">
        <v>959520</v>
      </c>
      <c r="G15" s="6">
        <v>984664</v>
      </c>
      <c r="H15" s="6">
        <v>1008106</v>
      </c>
      <c r="I15" s="1" t="str">
        <f t="shared" si="0"/>
        <v xml:space="preserve"> Texas</v>
      </c>
      <c r="J15" s="1" t="str">
        <f t="shared" si="1"/>
        <v>Fort Worth city</v>
      </c>
      <c r="K15" s="1">
        <f>IF(COUNTIF($I$5:I15,I15)=1,1,0)</f>
        <v>0</v>
      </c>
    </row>
    <row r="16" spans="1:18" x14ac:dyDescent="0.2">
      <c r="A16" s="9">
        <v>12</v>
      </c>
      <c r="B16" s="5" t="s">
        <v>11</v>
      </c>
      <c r="C16" s="6">
        <v>1013419</v>
      </c>
      <c r="D16" s="6">
        <v>1009686</v>
      </c>
      <c r="E16" s="6">
        <v>981446</v>
      </c>
      <c r="F16" s="6">
        <v>978451</v>
      </c>
      <c r="G16" s="6">
        <v>983734</v>
      </c>
      <c r="H16" s="6">
        <v>997368</v>
      </c>
      <c r="I16" s="1" t="str">
        <f t="shared" si="0"/>
        <v xml:space="preserve"> California</v>
      </c>
      <c r="J16" s="1" t="str">
        <f t="shared" si="1"/>
        <v>San Jose city</v>
      </c>
      <c r="K16" s="1">
        <f>IF(COUNTIF($I$5:I16,I16)=1,1,0)</f>
        <v>0</v>
      </c>
    </row>
    <row r="17" spans="1:11" x14ac:dyDescent="0.2">
      <c r="A17" s="9">
        <v>13</v>
      </c>
      <c r="B17" s="5" t="s">
        <v>12</v>
      </c>
      <c r="C17" s="6">
        <v>961899</v>
      </c>
      <c r="D17" s="6">
        <v>965893</v>
      </c>
      <c r="E17" s="6">
        <v>969940</v>
      </c>
      <c r="F17" s="6">
        <v>979214</v>
      </c>
      <c r="G17" s="6">
        <v>989583</v>
      </c>
      <c r="H17" s="6">
        <v>993588</v>
      </c>
      <c r="I17" s="1" t="str">
        <f t="shared" si="0"/>
        <v xml:space="preserve"> Texas</v>
      </c>
      <c r="J17" s="1" t="str">
        <f t="shared" si="1"/>
        <v>Austin city</v>
      </c>
      <c r="K17" s="1">
        <f>IF(COUNTIF($I$5:I17,I17)=1,1,0)</f>
        <v>0</v>
      </c>
    </row>
    <row r="18" spans="1:11" x14ac:dyDescent="0.2">
      <c r="A18" s="9">
        <v>14</v>
      </c>
      <c r="B18" s="5" t="s">
        <v>13</v>
      </c>
      <c r="C18" s="6">
        <v>874687</v>
      </c>
      <c r="D18" s="6">
        <v>874948</v>
      </c>
      <c r="E18" s="6">
        <v>882341</v>
      </c>
      <c r="F18" s="6">
        <v>898699</v>
      </c>
      <c r="G18" s="6">
        <v>920053</v>
      </c>
      <c r="H18" s="6">
        <v>943476</v>
      </c>
      <c r="I18" s="1" t="str">
        <f t="shared" si="0"/>
        <v xml:space="preserve"> North Carolina</v>
      </c>
      <c r="J18" s="1" t="str">
        <f t="shared" si="1"/>
        <v>Charlotte city</v>
      </c>
      <c r="K18" s="1">
        <f>IF(COUNTIF($I$5:I18,I18)=1,1,0)</f>
        <v>1</v>
      </c>
    </row>
    <row r="19" spans="1:11" x14ac:dyDescent="0.2">
      <c r="A19" s="9">
        <v>15</v>
      </c>
      <c r="B19" s="5" t="s">
        <v>14</v>
      </c>
      <c r="C19" s="6">
        <v>906022</v>
      </c>
      <c r="D19" s="6">
        <v>906466</v>
      </c>
      <c r="E19" s="6">
        <v>902862</v>
      </c>
      <c r="F19" s="6">
        <v>911227</v>
      </c>
      <c r="G19" s="6">
        <v>920569</v>
      </c>
      <c r="H19" s="6">
        <v>933263</v>
      </c>
      <c r="I19" s="1" t="str">
        <f t="shared" si="0"/>
        <v xml:space="preserve"> Ohio</v>
      </c>
      <c r="J19" s="1" t="str">
        <f t="shared" si="1"/>
        <v>Columbus city</v>
      </c>
      <c r="K19" s="1">
        <f>IF(COUNTIF($I$5:I19,I19)=1,1,0)</f>
        <v>1</v>
      </c>
    </row>
    <row r="20" spans="1:11" x14ac:dyDescent="0.2">
      <c r="A20" s="9">
        <v>16</v>
      </c>
      <c r="B20" s="5" t="s">
        <v>15</v>
      </c>
      <c r="C20" s="6">
        <v>887644</v>
      </c>
      <c r="D20" s="6">
        <v>887213</v>
      </c>
      <c r="E20" s="6">
        <v>882456</v>
      </c>
      <c r="F20" s="6">
        <v>884168</v>
      </c>
      <c r="G20" s="6">
        <v>885839</v>
      </c>
      <c r="H20" s="6">
        <v>891484</v>
      </c>
      <c r="I20" s="1" t="str">
        <f t="shared" si="0"/>
        <v xml:space="preserve"> Indiana</v>
      </c>
      <c r="J20" s="1" t="str">
        <f t="shared" si="1"/>
        <v>Indianapolis city (balance)</v>
      </c>
      <c r="K20" s="1">
        <f>IF(COUNTIF($I$5:I20,I20)=1,1,0)</f>
        <v>1</v>
      </c>
    </row>
    <row r="21" spans="1:11" x14ac:dyDescent="0.2">
      <c r="A21" s="9">
        <v>17</v>
      </c>
      <c r="B21" s="5" t="s">
        <v>16</v>
      </c>
      <c r="C21" s="6">
        <v>878392</v>
      </c>
      <c r="D21" s="6">
        <v>874826</v>
      </c>
      <c r="E21" s="6">
        <v>815498</v>
      </c>
      <c r="F21" s="6">
        <v>814176</v>
      </c>
      <c r="G21" s="6">
        <v>819151</v>
      </c>
      <c r="H21" s="6">
        <v>827526</v>
      </c>
      <c r="I21" s="1" t="str">
        <f t="shared" si="0"/>
        <v xml:space="preserve"> California</v>
      </c>
      <c r="J21" s="1" t="str">
        <f t="shared" si="1"/>
        <v>San Francisco city</v>
      </c>
      <c r="K21" s="1">
        <f>IF(COUNTIF($I$5:I21,I21)=1,1,0)</f>
        <v>0</v>
      </c>
    </row>
    <row r="22" spans="1:11" x14ac:dyDescent="0.2">
      <c r="A22" s="9">
        <v>18</v>
      </c>
      <c r="B22" s="5" t="s">
        <v>17</v>
      </c>
      <c r="C22" s="6">
        <v>737020</v>
      </c>
      <c r="D22" s="6">
        <v>740600</v>
      </c>
      <c r="E22" s="6">
        <v>733700</v>
      </c>
      <c r="F22" s="6">
        <v>751454</v>
      </c>
      <c r="G22" s="6">
        <v>764182</v>
      </c>
      <c r="H22" s="6">
        <v>780995</v>
      </c>
      <c r="I22" s="1" t="str">
        <f t="shared" si="0"/>
        <v xml:space="preserve"> Washington</v>
      </c>
      <c r="J22" s="1" t="str">
        <f t="shared" si="1"/>
        <v>Seattle city</v>
      </c>
      <c r="K22" s="1">
        <f>IF(COUNTIF($I$5:I22,I22)=1,1,0)</f>
        <v>1</v>
      </c>
    </row>
    <row r="23" spans="1:11" x14ac:dyDescent="0.2">
      <c r="A23" s="9">
        <v>19</v>
      </c>
      <c r="B23" s="5" t="s">
        <v>18</v>
      </c>
      <c r="C23" s="6">
        <v>715513</v>
      </c>
      <c r="D23" s="6">
        <v>717620</v>
      </c>
      <c r="E23" s="6">
        <v>711530</v>
      </c>
      <c r="F23" s="6">
        <v>714851</v>
      </c>
      <c r="G23" s="6">
        <v>721367</v>
      </c>
      <c r="H23" s="6">
        <v>729019</v>
      </c>
      <c r="I23" s="1" t="str">
        <f t="shared" si="0"/>
        <v xml:space="preserve"> Colorado</v>
      </c>
      <c r="J23" s="1" t="str">
        <f t="shared" si="1"/>
        <v>Denver city</v>
      </c>
      <c r="K23" s="1">
        <f>IF(COUNTIF($I$5:I23,I23)=1,1,0)</f>
        <v>1</v>
      </c>
    </row>
    <row r="24" spans="1:11" x14ac:dyDescent="0.2">
      <c r="A24" s="9">
        <v>20</v>
      </c>
      <c r="B24" s="5" t="s">
        <v>19</v>
      </c>
      <c r="C24" s="6">
        <v>681069</v>
      </c>
      <c r="D24" s="6">
        <v>683084</v>
      </c>
      <c r="E24" s="6">
        <v>688596</v>
      </c>
      <c r="F24" s="6">
        <v>696756</v>
      </c>
      <c r="G24" s="6">
        <v>704567</v>
      </c>
      <c r="H24" s="6">
        <v>712919</v>
      </c>
      <c r="I24" s="1" t="str">
        <f t="shared" si="0"/>
        <v xml:space="preserve"> Oklahoma</v>
      </c>
      <c r="J24" s="1" t="str">
        <f t="shared" si="1"/>
        <v>Oklahoma City city</v>
      </c>
      <c r="K24" s="1">
        <f>IF(COUNTIF($I$5:I24,I24)=1,1,0)</f>
        <v>1</v>
      </c>
    </row>
    <row r="25" spans="1:11" x14ac:dyDescent="0.2">
      <c r="A25" s="9">
        <v>21</v>
      </c>
      <c r="B25" s="5" t="s">
        <v>20</v>
      </c>
      <c r="C25" s="6">
        <v>689451</v>
      </c>
      <c r="D25" s="6">
        <v>689726</v>
      </c>
      <c r="E25" s="6">
        <v>675671</v>
      </c>
      <c r="F25" s="6">
        <v>685903</v>
      </c>
      <c r="G25" s="6">
        <v>694294</v>
      </c>
      <c r="H25" s="6">
        <v>704963</v>
      </c>
      <c r="I25" s="1" t="str">
        <f t="shared" si="0"/>
        <v xml:space="preserve"> Tennessee</v>
      </c>
      <c r="J25" s="1" t="str">
        <f t="shared" si="1"/>
        <v>Nashville-Davidson metropolitan government (balance)</v>
      </c>
      <c r="K25" s="1">
        <f>IF(COUNTIF($I$5:I25,I25)=1,1,0)</f>
        <v>1</v>
      </c>
    </row>
    <row r="26" spans="1:11" x14ac:dyDescent="0.2">
      <c r="A26" s="9">
        <v>22</v>
      </c>
      <c r="B26" s="5" t="s">
        <v>21</v>
      </c>
      <c r="C26" s="6">
        <v>689545</v>
      </c>
      <c r="D26" s="6">
        <v>670917</v>
      </c>
      <c r="E26" s="6">
        <v>669256</v>
      </c>
      <c r="F26" s="6">
        <v>676725</v>
      </c>
      <c r="G26" s="6">
        <v>687324</v>
      </c>
      <c r="H26" s="6">
        <v>702250</v>
      </c>
      <c r="I26" s="1" t="str">
        <f t="shared" si="0"/>
        <v xml:space="preserve"> District of Columbia</v>
      </c>
      <c r="J26" s="1" t="str">
        <f t="shared" si="1"/>
        <v>Washington city</v>
      </c>
      <c r="K26" s="1">
        <f>IF(COUNTIF($I$5:I26,I26)=1,1,0)</f>
        <v>1</v>
      </c>
    </row>
    <row r="27" spans="1:11" x14ac:dyDescent="0.2">
      <c r="A27" s="9">
        <v>23</v>
      </c>
      <c r="B27" s="5" t="s">
        <v>22</v>
      </c>
      <c r="C27" s="6">
        <v>678959</v>
      </c>
      <c r="D27" s="6">
        <v>679382</v>
      </c>
      <c r="E27" s="6">
        <v>678546</v>
      </c>
      <c r="F27" s="6">
        <v>679247</v>
      </c>
      <c r="G27" s="6">
        <v>681573</v>
      </c>
      <c r="H27" s="6">
        <v>681723</v>
      </c>
      <c r="I27" s="1" t="str">
        <f t="shared" si="0"/>
        <v xml:space="preserve"> Texas</v>
      </c>
      <c r="J27" s="1" t="str">
        <f t="shared" si="1"/>
        <v>El Paso city</v>
      </c>
      <c r="K27" s="1">
        <f>IF(COUNTIF($I$5:I27,I27)=1,1,0)</f>
        <v>0</v>
      </c>
    </row>
    <row r="28" spans="1:11" x14ac:dyDescent="0.2">
      <c r="A28" s="9">
        <v>24</v>
      </c>
      <c r="B28" s="5" t="s">
        <v>23</v>
      </c>
      <c r="C28" s="6">
        <v>645822</v>
      </c>
      <c r="D28" s="6">
        <v>647763</v>
      </c>
      <c r="E28" s="6">
        <v>651868</v>
      </c>
      <c r="F28" s="6">
        <v>656716</v>
      </c>
      <c r="G28" s="6">
        <v>666630</v>
      </c>
      <c r="H28" s="6">
        <v>678922</v>
      </c>
      <c r="I28" s="1" t="str">
        <f t="shared" si="0"/>
        <v xml:space="preserve"> Nevada</v>
      </c>
      <c r="J28" s="1" t="str">
        <f t="shared" si="1"/>
        <v>Las Vegas city</v>
      </c>
      <c r="K28" s="1">
        <f>IF(COUNTIF($I$5:I28,I28)=1,1,0)</f>
        <v>1</v>
      </c>
    </row>
    <row r="29" spans="1:11" x14ac:dyDescent="0.2">
      <c r="A29" s="9">
        <v>25</v>
      </c>
      <c r="B29" s="5" t="s">
        <v>24</v>
      </c>
      <c r="C29" s="6">
        <v>678622</v>
      </c>
      <c r="D29" s="6">
        <v>675522</v>
      </c>
      <c r="E29" s="6">
        <v>658581</v>
      </c>
      <c r="F29" s="6">
        <v>660080</v>
      </c>
      <c r="G29" s="6">
        <v>664603</v>
      </c>
      <c r="H29" s="6">
        <v>673458</v>
      </c>
      <c r="I29" s="1" t="str">
        <f t="shared" si="0"/>
        <v xml:space="preserve"> Massachusetts</v>
      </c>
      <c r="J29" s="1" t="str">
        <f t="shared" si="1"/>
        <v>Boston city</v>
      </c>
      <c r="K29" s="1">
        <f>IF(COUNTIF($I$5:I29,I29)=1,1,0)</f>
        <v>1</v>
      </c>
    </row>
    <row r="30" spans="1:11" x14ac:dyDescent="0.2">
      <c r="A30" s="9">
        <v>26</v>
      </c>
      <c r="B30" s="5" t="s">
        <v>25</v>
      </c>
      <c r="C30" s="6">
        <v>639471</v>
      </c>
      <c r="D30" s="6">
        <v>638367</v>
      </c>
      <c r="E30" s="6">
        <v>634939</v>
      </c>
      <c r="F30" s="6">
        <v>634702</v>
      </c>
      <c r="G30" s="6">
        <v>638914</v>
      </c>
      <c r="H30" s="6">
        <v>645705</v>
      </c>
      <c r="I30" s="1" t="str">
        <f t="shared" si="0"/>
        <v xml:space="preserve"> Michigan</v>
      </c>
      <c r="J30" s="1" t="str">
        <f t="shared" si="1"/>
        <v>Detroit city</v>
      </c>
      <c r="K30" s="1">
        <f>IF(COUNTIF($I$5:I30,I30)=1,1,0)</f>
        <v>1</v>
      </c>
    </row>
    <row r="31" spans="1:11" x14ac:dyDescent="0.2">
      <c r="A31" s="9">
        <v>27</v>
      </c>
      <c r="B31" s="5" t="s">
        <v>26</v>
      </c>
      <c r="C31" s="6">
        <v>631890</v>
      </c>
      <c r="D31" s="6">
        <v>631847</v>
      </c>
      <c r="E31" s="6">
        <v>627376</v>
      </c>
      <c r="F31" s="6">
        <v>627172</v>
      </c>
      <c r="G31" s="6">
        <v>632162</v>
      </c>
      <c r="H31" s="6">
        <v>640796</v>
      </c>
      <c r="I31" s="1" t="str">
        <f t="shared" si="0"/>
        <v xml:space="preserve"> Kentucky</v>
      </c>
      <c r="J31" s="1" t="str">
        <f t="shared" si="1"/>
        <v>Louisville/Jefferson County metro government (balance)</v>
      </c>
      <c r="K31" s="1">
        <f>IF(COUNTIF($I$5:I31,I31)=1,1,0)</f>
        <v>1</v>
      </c>
    </row>
    <row r="32" spans="1:11" x14ac:dyDescent="0.2">
      <c r="A32" s="9">
        <v>28</v>
      </c>
      <c r="B32" s="5" t="s">
        <v>27</v>
      </c>
      <c r="C32" s="6">
        <v>652522</v>
      </c>
      <c r="D32" s="6">
        <v>653166</v>
      </c>
      <c r="E32" s="6">
        <v>642803</v>
      </c>
      <c r="F32" s="6">
        <v>636093</v>
      </c>
      <c r="G32" s="6">
        <v>634314</v>
      </c>
      <c r="H32" s="6">
        <v>635749</v>
      </c>
      <c r="I32" s="1" t="str">
        <f t="shared" si="0"/>
        <v xml:space="preserve"> Oregon</v>
      </c>
      <c r="J32" s="1" t="str">
        <f t="shared" si="1"/>
        <v>Portland city</v>
      </c>
      <c r="K32" s="1">
        <f>IF(COUNTIF($I$5:I32,I32)=1,1,0)</f>
        <v>1</v>
      </c>
    </row>
    <row r="33" spans="1:11" x14ac:dyDescent="0.2">
      <c r="A33" s="9">
        <v>29</v>
      </c>
      <c r="B33" s="5" t="s">
        <v>28</v>
      </c>
      <c r="C33" s="6">
        <v>628546</v>
      </c>
      <c r="D33" s="6">
        <v>628388</v>
      </c>
      <c r="E33" s="6">
        <v>622541</v>
      </c>
      <c r="F33" s="6">
        <v>618468</v>
      </c>
      <c r="G33" s="6">
        <v>614587</v>
      </c>
      <c r="H33" s="6">
        <v>610919</v>
      </c>
      <c r="I33" s="1" t="str">
        <f t="shared" si="0"/>
        <v xml:space="preserve"> Tennessee</v>
      </c>
      <c r="J33" s="1" t="str">
        <f t="shared" si="1"/>
        <v>Memphis city</v>
      </c>
      <c r="K33" s="1">
        <f>IF(COUNTIF($I$5:I33,I33)=1,1,0)</f>
        <v>0</v>
      </c>
    </row>
    <row r="34" spans="1:11" x14ac:dyDescent="0.2">
      <c r="A34" s="9">
        <v>30</v>
      </c>
      <c r="B34" s="5" t="s">
        <v>29</v>
      </c>
      <c r="C34" s="6">
        <v>585720</v>
      </c>
      <c r="D34" s="6">
        <v>583189</v>
      </c>
      <c r="E34" s="6">
        <v>576575</v>
      </c>
      <c r="F34" s="6">
        <v>570663</v>
      </c>
      <c r="G34" s="6">
        <v>567517</v>
      </c>
      <c r="H34" s="6">
        <v>568271</v>
      </c>
      <c r="I34" s="1" t="str">
        <f t="shared" si="0"/>
        <v xml:space="preserve"> Maryland</v>
      </c>
      <c r="J34" s="1" t="str">
        <f t="shared" si="1"/>
        <v>Baltimore city</v>
      </c>
      <c r="K34" s="1">
        <f>IF(COUNTIF($I$5:I34,I34)=1,1,0)</f>
        <v>1</v>
      </c>
    </row>
    <row r="35" spans="1:11" x14ac:dyDescent="0.2">
      <c r="A35" s="9">
        <v>31</v>
      </c>
      <c r="B35" s="5" t="s">
        <v>30</v>
      </c>
      <c r="C35" s="6">
        <v>577897</v>
      </c>
      <c r="D35" s="6">
        <v>577157</v>
      </c>
      <c r="E35" s="6">
        <v>566415</v>
      </c>
      <c r="F35" s="6">
        <v>564614</v>
      </c>
      <c r="G35" s="6">
        <v>563052</v>
      </c>
      <c r="H35" s="6">
        <v>563531</v>
      </c>
      <c r="I35" s="1" t="str">
        <f t="shared" si="0"/>
        <v xml:space="preserve"> Wisconsin</v>
      </c>
      <c r="J35" s="1" t="str">
        <f t="shared" si="1"/>
        <v>Milwaukee city</v>
      </c>
      <c r="K35" s="1">
        <f>IF(COUNTIF($I$5:I35,I35)=1,1,0)</f>
        <v>1</v>
      </c>
    </row>
    <row r="36" spans="1:11" x14ac:dyDescent="0.2">
      <c r="A36" s="9">
        <v>32</v>
      </c>
      <c r="B36" s="5" t="s">
        <v>31</v>
      </c>
      <c r="C36" s="6">
        <v>564549</v>
      </c>
      <c r="D36" s="6">
        <v>564885</v>
      </c>
      <c r="E36" s="6">
        <v>563441</v>
      </c>
      <c r="F36" s="6">
        <v>561422</v>
      </c>
      <c r="G36" s="6">
        <v>561094</v>
      </c>
      <c r="H36" s="6">
        <v>560326</v>
      </c>
      <c r="I36" s="1" t="str">
        <f t="shared" si="0"/>
        <v xml:space="preserve"> New Mexico</v>
      </c>
      <c r="J36" s="1" t="str">
        <f t="shared" si="1"/>
        <v>Albuquerque city</v>
      </c>
      <c r="K36" s="1">
        <f>IF(COUNTIF($I$5:I36,I36)=1,1,0)</f>
        <v>1</v>
      </c>
    </row>
    <row r="37" spans="1:11" x14ac:dyDescent="0.2">
      <c r="A37" s="9">
        <v>33</v>
      </c>
      <c r="B37" s="5" t="s">
        <v>32</v>
      </c>
      <c r="C37" s="6">
        <v>542649</v>
      </c>
      <c r="D37" s="6">
        <v>542649</v>
      </c>
      <c r="E37" s="6">
        <v>541283</v>
      </c>
      <c r="F37" s="6">
        <v>547476</v>
      </c>
      <c r="G37" s="6">
        <v>549932</v>
      </c>
      <c r="H37" s="6">
        <v>554013</v>
      </c>
      <c r="I37" s="1" t="str">
        <f t="shared" si="0"/>
        <v xml:space="preserve"> Arizona</v>
      </c>
      <c r="J37" s="1" t="str">
        <f t="shared" si="1"/>
        <v>Tucson city</v>
      </c>
      <c r="K37" s="1">
        <f>IF(COUNTIF($I$5:I37,I37)=1,1,0)</f>
        <v>0</v>
      </c>
    </row>
    <row r="38" spans="1:11" x14ac:dyDescent="0.2">
      <c r="A38" s="9">
        <v>34</v>
      </c>
      <c r="B38" s="5" t="s">
        <v>33</v>
      </c>
      <c r="C38" s="6">
        <v>542235</v>
      </c>
      <c r="D38" s="6">
        <v>542714</v>
      </c>
      <c r="E38" s="6">
        <v>543931</v>
      </c>
      <c r="F38" s="6">
        <v>545874</v>
      </c>
      <c r="G38" s="6">
        <v>547260</v>
      </c>
      <c r="H38" s="6">
        <v>550105</v>
      </c>
      <c r="I38" s="1" t="str">
        <f t="shared" si="0"/>
        <v xml:space="preserve"> California</v>
      </c>
      <c r="J38" s="1" t="str">
        <f t="shared" si="1"/>
        <v>Fresno city</v>
      </c>
      <c r="K38" s="1">
        <f>IF(COUNTIF($I$5:I38,I38)=1,1,0)</f>
        <v>0</v>
      </c>
    </row>
    <row r="39" spans="1:11" x14ac:dyDescent="0.2">
      <c r="A39" s="9">
        <v>35</v>
      </c>
      <c r="B39" s="5" t="s">
        <v>34</v>
      </c>
      <c r="C39" s="6">
        <v>524908</v>
      </c>
      <c r="D39" s="6">
        <v>525579</v>
      </c>
      <c r="E39" s="6">
        <v>525496</v>
      </c>
      <c r="F39" s="6">
        <v>526715</v>
      </c>
      <c r="G39" s="6">
        <v>529792</v>
      </c>
      <c r="H39" s="6">
        <v>535798</v>
      </c>
      <c r="I39" s="1" t="str">
        <f t="shared" si="0"/>
        <v xml:space="preserve"> California</v>
      </c>
      <c r="J39" s="1" t="str">
        <f t="shared" si="1"/>
        <v>Sacramento city</v>
      </c>
      <c r="K39" s="1">
        <f>IF(COUNTIF($I$5:I39,I39)=1,1,0)</f>
        <v>0</v>
      </c>
    </row>
    <row r="40" spans="1:11" x14ac:dyDescent="0.2">
      <c r="A40" s="9">
        <v>36</v>
      </c>
      <c r="B40" s="5" t="s">
        <v>35</v>
      </c>
      <c r="C40" s="6">
        <v>498792</v>
      </c>
      <c r="D40" s="6">
        <v>499998</v>
      </c>
      <c r="E40" s="6">
        <v>492892</v>
      </c>
      <c r="F40" s="6">
        <v>500249</v>
      </c>
      <c r="G40" s="6">
        <v>513184</v>
      </c>
      <c r="H40" s="6">
        <v>520070</v>
      </c>
      <c r="I40" s="1" t="str">
        <f t="shared" si="0"/>
        <v xml:space="preserve"> Georgia</v>
      </c>
      <c r="J40" s="1" t="str">
        <f t="shared" si="1"/>
        <v>Atlanta city</v>
      </c>
      <c r="K40" s="1">
        <f>IF(COUNTIF($I$5:I40,I40)=1,1,0)</f>
        <v>1</v>
      </c>
    </row>
    <row r="41" spans="1:11" x14ac:dyDescent="0.2">
      <c r="A41" s="9">
        <v>37</v>
      </c>
      <c r="B41" s="5" t="s">
        <v>36</v>
      </c>
      <c r="C41" s="6">
        <v>504374</v>
      </c>
      <c r="D41" s="6">
        <v>505950</v>
      </c>
      <c r="E41" s="6">
        <v>509284</v>
      </c>
      <c r="F41" s="6">
        <v>512545</v>
      </c>
      <c r="G41" s="6">
        <v>513993</v>
      </c>
      <c r="H41" s="6">
        <v>517151</v>
      </c>
      <c r="I41" s="1" t="str">
        <f t="shared" si="0"/>
        <v xml:space="preserve"> Arizona</v>
      </c>
      <c r="J41" s="1" t="str">
        <f t="shared" si="1"/>
        <v>Mesa city</v>
      </c>
      <c r="K41" s="1">
        <f>IF(COUNTIF($I$5:I41,I41)=1,1,0)</f>
        <v>0</v>
      </c>
    </row>
    <row r="42" spans="1:11" x14ac:dyDescent="0.2">
      <c r="A42" s="9">
        <v>38</v>
      </c>
      <c r="B42" s="5" t="s">
        <v>37</v>
      </c>
      <c r="C42" s="6">
        <v>507984</v>
      </c>
      <c r="D42" s="6">
        <v>508096</v>
      </c>
      <c r="E42" s="6">
        <v>508995</v>
      </c>
      <c r="F42" s="6">
        <v>508913</v>
      </c>
      <c r="G42" s="6">
        <v>511300</v>
      </c>
      <c r="H42" s="6">
        <v>516032</v>
      </c>
      <c r="I42" s="1" t="str">
        <f t="shared" si="0"/>
        <v xml:space="preserve"> Missouri</v>
      </c>
      <c r="J42" s="1" t="str">
        <f t="shared" si="1"/>
        <v>Kansas City city</v>
      </c>
      <c r="K42" s="1">
        <f>IF(COUNTIF($I$5:I42,I42)=1,1,0)</f>
        <v>1</v>
      </c>
    </row>
    <row r="43" spans="1:11" x14ac:dyDescent="0.2">
      <c r="A43" s="9">
        <v>39</v>
      </c>
      <c r="B43" s="5" t="s">
        <v>38</v>
      </c>
      <c r="C43" s="6">
        <v>467911</v>
      </c>
      <c r="D43" s="6">
        <v>465861</v>
      </c>
      <c r="E43" s="6">
        <v>471377</v>
      </c>
      <c r="F43" s="6">
        <v>475200</v>
      </c>
      <c r="G43" s="6">
        <v>491078</v>
      </c>
      <c r="H43" s="6">
        <v>499825</v>
      </c>
      <c r="I43" s="1" t="str">
        <f t="shared" si="0"/>
        <v xml:space="preserve"> North Carolina</v>
      </c>
      <c r="J43" s="1" t="str">
        <f t="shared" si="1"/>
        <v>Raleigh city</v>
      </c>
      <c r="K43" s="1">
        <f>IF(COUNTIF($I$5:I43,I43)=1,1,0)</f>
        <v>0</v>
      </c>
    </row>
    <row r="44" spans="1:11" x14ac:dyDescent="0.2">
      <c r="A44" s="9">
        <v>40</v>
      </c>
      <c r="B44" s="5" t="s">
        <v>39</v>
      </c>
      <c r="C44" s="6">
        <v>480378</v>
      </c>
      <c r="D44" s="6">
        <v>481713</v>
      </c>
      <c r="E44" s="6">
        <v>484837</v>
      </c>
      <c r="F44" s="6">
        <v>488136</v>
      </c>
      <c r="G44" s="6">
        <v>491301</v>
      </c>
      <c r="H44" s="6">
        <v>493554</v>
      </c>
      <c r="I44" s="1" t="str">
        <f t="shared" si="0"/>
        <v xml:space="preserve"> Colorado</v>
      </c>
      <c r="J44" s="1" t="str">
        <f t="shared" si="1"/>
        <v>Colorado Springs city</v>
      </c>
      <c r="K44" s="1">
        <f>IF(COUNTIF($I$5:I44,I44)=1,1,0)</f>
        <v>0</v>
      </c>
    </row>
    <row r="45" spans="1:11" x14ac:dyDescent="0.2">
      <c r="A45" s="9">
        <v>41</v>
      </c>
      <c r="B45" s="5" t="s">
        <v>40</v>
      </c>
      <c r="C45" s="6">
        <v>491875</v>
      </c>
      <c r="D45" s="6">
        <v>492783</v>
      </c>
      <c r="E45" s="6">
        <v>488727</v>
      </c>
      <c r="F45" s="6">
        <v>486666</v>
      </c>
      <c r="G45" s="6">
        <v>486780</v>
      </c>
      <c r="H45" s="6">
        <v>489265</v>
      </c>
      <c r="I45" s="1" t="str">
        <f t="shared" si="0"/>
        <v xml:space="preserve"> Nebraska</v>
      </c>
      <c r="J45" s="1" t="str">
        <f t="shared" si="1"/>
        <v>Omaha city</v>
      </c>
      <c r="K45" s="1">
        <f>IF(COUNTIF($I$5:I45,I45)=1,1,0)</f>
        <v>1</v>
      </c>
    </row>
    <row r="46" spans="1:11" x14ac:dyDescent="0.2">
      <c r="A46" s="9">
        <v>42</v>
      </c>
      <c r="B46" s="5" t="s">
        <v>41</v>
      </c>
      <c r="C46" s="6">
        <v>442244</v>
      </c>
      <c r="D46" s="6">
        <v>442828</v>
      </c>
      <c r="E46" s="6">
        <v>441630</v>
      </c>
      <c r="F46" s="6">
        <v>456736</v>
      </c>
      <c r="G46" s="6">
        <v>470677</v>
      </c>
      <c r="H46" s="6">
        <v>487014</v>
      </c>
      <c r="I46" s="1" t="str">
        <f t="shared" si="0"/>
        <v xml:space="preserve"> Florida</v>
      </c>
      <c r="J46" s="1" t="str">
        <f t="shared" si="1"/>
        <v>Miami city</v>
      </c>
      <c r="K46" s="1">
        <f>IF(COUNTIF($I$5:I46,I46)=1,1,0)</f>
        <v>0</v>
      </c>
    </row>
    <row r="47" spans="1:11" x14ac:dyDescent="0.2">
      <c r="A47" s="9">
        <v>43</v>
      </c>
      <c r="B47" s="5" t="s">
        <v>42</v>
      </c>
      <c r="C47" s="6">
        <v>459444</v>
      </c>
      <c r="D47" s="6">
        <v>459673</v>
      </c>
      <c r="E47" s="6">
        <v>458599</v>
      </c>
      <c r="F47" s="6">
        <v>454886</v>
      </c>
      <c r="G47" s="6">
        <v>453779</v>
      </c>
      <c r="H47" s="6">
        <v>454808</v>
      </c>
      <c r="I47" s="1" t="str">
        <f t="shared" si="0"/>
        <v xml:space="preserve"> Virginia</v>
      </c>
      <c r="J47" s="1" t="str">
        <f t="shared" si="1"/>
        <v>Virginia Beach city</v>
      </c>
      <c r="K47" s="1">
        <f>IF(COUNTIF($I$5:I47,I47)=1,1,0)</f>
        <v>1</v>
      </c>
    </row>
    <row r="48" spans="1:11" x14ac:dyDescent="0.2">
      <c r="A48" s="9">
        <v>44</v>
      </c>
      <c r="B48" s="5" t="s">
        <v>43</v>
      </c>
      <c r="C48" s="6">
        <v>466766</v>
      </c>
      <c r="D48" s="6">
        <v>465593</v>
      </c>
      <c r="E48" s="6">
        <v>455157</v>
      </c>
      <c r="F48" s="6">
        <v>454168</v>
      </c>
      <c r="G48" s="6">
        <v>451762</v>
      </c>
      <c r="H48" s="6">
        <v>450901</v>
      </c>
      <c r="I48" s="1" t="str">
        <f t="shared" si="0"/>
        <v xml:space="preserve"> California</v>
      </c>
      <c r="J48" s="1" t="str">
        <f t="shared" si="1"/>
        <v>Long Beach city</v>
      </c>
      <c r="K48" s="1">
        <f>IF(COUNTIF($I$5:I48,I48)=1,1,0)</f>
        <v>0</v>
      </c>
    </row>
    <row r="49" spans="1:11" x14ac:dyDescent="0.2">
      <c r="A49" s="9">
        <v>45</v>
      </c>
      <c r="B49" s="5" t="s">
        <v>44</v>
      </c>
      <c r="C49" s="6">
        <v>440679</v>
      </c>
      <c r="D49" s="6">
        <v>440983</v>
      </c>
      <c r="E49" s="6">
        <v>436836</v>
      </c>
      <c r="F49" s="6">
        <v>436544</v>
      </c>
      <c r="G49" s="6">
        <v>439455</v>
      </c>
      <c r="H49" s="6">
        <v>443554</v>
      </c>
      <c r="I49" s="1" t="str">
        <f t="shared" si="0"/>
        <v xml:space="preserve"> California</v>
      </c>
      <c r="J49" s="1" t="str">
        <f t="shared" si="1"/>
        <v>Oakland city</v>
      </c>
      <c r="K49" s="1">
        <f>IF(COUNTIF($I$5:I49,I49)=1,1,0)</f>
        <v>0</v>
      </c>
    </row>
    <row r="50" spans="1:11" x14ac:dyDescent="0.2">
      <c r="A50" s="9">
        <v>46</v>
      </c>
      <c r="B50" s="5" t="s">
        <v>45</v>
      </c>
      <c r="C50" s="6">
        <v>429983</v>
      </c>
      <c r="D50" s="6">
        <v>430738</v>
      </c>
      <c r="E50" s="6">
        <v>427853</v>
      </c>
      <c r="F50" s="6">
        <v>422613</v>
      </c>
      <c r="G50" s="6">
        <v>426569</v>
      </c>
      <c r="H50" s="6">
        <v>428579</v>
      </c>
      <c r="I50" s="1" t="str">
        <f t="shared" si="0"/>
        <v xml:space="preserve"> Minnesota</v>
      </c>
      <c r="J50" s="1" t="str">
        <f t="shared" si="1"/>
        <v>Minneapolis city</v>
      </c>
      <c r="K50" s="1">
        <f>IF(COUNTIF($I$5:I50,I50)=1,1,0)</f>
        <v>1</v>
      </c>
    </row>
    <row r="51" spans="1:11" x14ac:dyDescent="0.2">
      <c r="A51" s="9">
        <v>47</v>
      </c>
      <c r="B51" s="5" t="s">
        <v>46</v>
      </c>
      <c r="C51" s="6">
        <v>404368</v>
      </c>
      <c r="D51" s="6">
        <v>405220</v>
      </c>
      <c r="E51" s="6">
        <v>409542</v>
      </c>
      <c r="F51" s="6">
        <v>412996</v>
      </c>
      <c r="G51" s="6">
        <v>414626</v>
      </c>
      <c r="H51" s="6">
        <v>417468</v>
      </c>
      <c r="I51" s="1" t="str">
        <f t="shared" si="0"/>
        <v xml:space="preserve"> California</v>
      </c>
      <c r="J51" s="1" t="str">
        <f t="shared" si="1"/>
        <v>Bakersfield city</v>
      </c>
      <c r="K51" s="1">
        <f>IF(COUNTIF($I$5:I51,I51)=1,1,0)</f>
        <v>0</v>
      </c>
    </row>
    <row r="52" spans="1:11" x14ac:dyDescent="0.2">
      <c r="A52" s="9">
        <v>48</v>
      </c>
      <c r="B52" s="5" t="s">
        <v>47</v>
      </c>
      <c r="C52" s="6">
        <v>413143</v>
      </c>
      <c r="D52" s="6">
        <v>413663</v>
      </c>
      <c r="E52" s="6">
        <v>412923</v>
      </c>
      <c r="F52" s="6">
        <v>413062</v>
      </c>
      <c r="G52" s="6">
        <v>414035</v>
      </c>
      <c r="H52" s="6">
        <v>415154</v>
      </c>
      <c r="I52" s="1" t="str">
        <f t="shared" si="0"/>
        <v xml:space="preserve"> Oklahoma</v>
      </c>
      <c r="J52" s="1" t="str">
        <f t="shared" si="1"/>
        <v>Tulsa city</v>
      </c>
      <c r="K52" s="1">
        <f>IF(COUNTIF($I$5:I52,I52)=1,1,0)</f>
        <v>0</v>
      </c>
    </row>
    <row r="53" spans="1:11" x14ac:dyDescent="0.2">
      <c r="A53" s="9">
        <v>49</v>
      </c>
      <c r="B53" s="5" t="s">
        <v>48</v>
      </c>
      <c r="C53" s="6">
        <v>385288</v>
      </c>
      <c r="D53" s="6">
        <v>388564</v>
      </c>
      <c r="E53" s="6">
        <v>393609</v>
      </c>
      <c r="F53" s="6">
        <v>401611</v>
      </c>
      <c r="G53" s="6">
        <v>409742</v>
      </c>
      <c r="H53" s="6">
        <v>414547</v>
      </c>
      <c r="I53" s="1" t="str">
        <f t="shared" si="0"/>
        <v xml:space="preserve"> Florida</v>
      </c>
      <c r="J53" s="1" t="str">
        <f t="shared" si="1"/>
        <v>Tampa city</v>
      </c>
      <c r="K53" s="1">
        <f>IF(COUNTIF($I$5:I53,I53)=1,1,0)</f>
        <v>0</v>
      </c>
    </row>
    <row r="54" spans="1:11" x14ac:dyDescent="0.2">
      <c r="A54" s="9">
        <v>50</v>
      </c>
      <c r="B54" s="5" t="s">
        <v>49</v>
      </c>
      <c r="C54" s="6">
        <v>394377</v>
      </c>
      <c r="D54" s="6">
        <v>394380</v>
      </c>
      <c r="E54" s="6">
        <v>393559</v>
      </c>
      <c r="F54" s="6">
        <v>395943</v>
      </c>
      <c r="G54" s="6">
        <v>401203</v>
      </c>
      <c r="H54" s="6">
        <v>403672</v>
      </c>
      <c r="I54" s="1" t="str">
        <f t="shared" si="0"/>
        <v xml:space="preserve"> Texas</v>
      </c>
      <c r="J54" s="1" t="str">
        <f t="shared" si="1"/>
        <v>Arlington city</v>
      </c>
      <c r="K54" s="1">
        <f>IF(COUNTIF($I$5:I54,I54)=1,1,0)</f>
        <v>0</v>
      </c>
    </row>
    <row r="55" spans="1:11" x14ac:dyDescent="0.2">
      <c r="A55" s="9">
        <v>51</v>
      </c>
      <c r="B55" s="5" t="s">
        <v>50</v>
      </c>
      <c r="C55" s="6">
        <v>386333</v>
      </c>
      <c r="D55" s="6">
        <v>386804</v>
      </c>
      <c r="E55" s="6">
        <v>390589</v>
      </c>
      <c r="F55" s="6">
        <v>394128</v>
      </c>
      <c r="G55" s="6">
        <v>397573</v>
      </c>
      <c r="H55" s="6">
        <v>403130</v>
      </c>
      <c r="I55" s="1" t="str">
        <f t="shared" si="0"/>
        <v xml:space="preserve"> Colorado</v>
      </c>
      <c r="J55" s="1" t="str">
        <f t="shared" si="1"/>
        <v>Aurora city</v>
      </c>
      <c r="K55" s="1">
        <f>IF(COUNTIF($I$5:I55,I55)=1,1,0)</f>
        <v>0</v>
      </c>
    </row>
    <row r="56" spans="1:11" x14ac:dyDescent="0.2">
      <c r="A56" s="9">
        <v>52</v>
      </c>
      <c r="B56" s="5" t="s">
        <v>51</v>
      </c>
      <c r="C56" s="6">
        <v>397572</v>
      </c>
      <c r="D56" s="6">
        <v>398067</v>
      </c>
      <c r="E56" s="6">
        <v>396708</v>
      </c>
      <c r="F56" s="6">
        <v>396203</v>
      </c>
      <c r="G56" s="6">
        <v>397656</v>
      </c>
      <c r="H56" s="6">
        <v>400991</v>
      </c>
      <c r="I56" s="1" t="str">
        <f t="shared" si="0"/>
        <v xml:space="preserve"> Kansas</v>
      </c>
      <c r="J56" s="1" t="str">
        <f t="shared" si="1"/>
        <v>Wichita city</v>
      </c>
      <c r="K56" s="1">
        <f>IF(COUNTIF($I$5:I56,I56)=1,1,0)</f>
        <v>1</v>
      </c>
    </row>
    <row r="57" spans="1:11" x14ac:dyDescent="0.2">
      <c r="A57" s="9">
        <v>53</v>
      </c>
      <c r="B57" s="5" t="s">
        <v>52</v>
      </c>
      <c r="C57" s="6">
        <v>372626</v>
      </c>
      <c r="D57" s="6">
        <v>371853</v>
      </c>
      <c r="E57" s="6">
        <v>365432</v>
      </c>
      <c r="F57" s="6">
        <v>363622</v>
      </c>
      <c r="G57" s="6">
        <v>364276</v>
      </c>
      <c r="H57" s="6">
        <v>365379</v>
      </c>
      <c r="I57" s="1" t="str">
        <f t="shared" si="0"/>
        <v xml:space="preserve"> Ohio</v>
      </c>
      <c r="J57" s="1" t="str">
        <f t="shared" si="1"/>
        <v>Cleveland city</v>
      </c>
      <c r="K57" s="1">
        <f>IF(COUNTIF($I$5:I57,I57)=1,1,0)</f>
        <v>0</v>
      </c>
    </row>
    <row r="58" spans="1:11" x14ac:dyDescent="0.2">
      <c r="A58" s="9">
        <v>54</v>
      </c>
      <c r="B58" s="5" t="s">
        <v>53</v>
      </c>
      <c r="C58" s="6">
        <v>384130</v>
      </c>
      <c r="D58" s="6">
        <v>383374</v>
      </c>
      <c r="E58" s="6">
        <v>377547</v>
      </c>
      <c r="F58" s="6">
        <v>370473</v>
      </c>
      <c r="G58" s="6">
        <v>365167</v>
      </c>
      <c r="H58" s="6">
        <v>362701</v>
      </c>
      <c r="I58" s="1" t="str">
        <f t="shared" si="0"/>
        <v xml:space="preserve"> Louisiana</v>
      </c>
      <c r="J58" s="1" t="str">
        <f t="shared" si="1"/>
        <v>New Orleans city</v>
      </c>
      <c r="K58" s="1">
        <f>IF(COUNTIF($I$5:I58,I58)=1,1,0)</f>
        <v>1</v>
      </c>
    </row>
    <row r="59" spans="1:11" x14ac:dyDescent="0.2">
      <c r="A59" s="9">
        <v>55</v>
      </c>
      <c r="B59" s="5" t="s">
        <v>54</v>
      </c>
      <c r="C59" s="6">
        <v>316893</v>
      </c>
      <c r="D59" s="6">
        <v>318660</v>
      </c>
      <c r="E59" s="6">
        <v>322079</v>
      </c>
      <c r="F59" s="6">
        <v>330645</v>
      </c>
      <c r="G59" s="6">
        <v>339280</v>
      </c>
      <c r="H59" s="6">
        <v>350039</v>
      </c>
      <c r="I59" s="1" t="str">
        <f t="shared" si="0"/>
        <v xml:space="preserve"> Nevada</v>
      </c>
      <c r="J59" s="1" t="str">
        <f t="shared" si="1"/>
        <v>Henderson city</v>
      </c>
      <c r="K59" s="1">
        <f>IF(COUNTIF($I$5:I59,I59)=1,1,0)</f>
        <v>0</v>
      </c>
    </row>
    <row r="60" spans="1:11" x14ac:dyDescent="0.2">
      <c r="A60" s="9">
        <v>56</v>
      </c>
      <c r="B60" s="5" t="s">
        <v>55</v>
      </c>
      <c r="C60" s="6">
        <v>350956</v>
      </c>
      <c r="D60" s="6">
        <v>348442</v>
      </c>
      <c r="E60" s="6">
        <v>346580</v>
      </c>
      <c r="F60" s="6">
        <v>343974</v>
      </c>
      <c r="G60" s="6">
        <v>343531</v>
      </c>
      <c r="H60" s="6">
        <v>344967</v>
      </c>
      <c r="I60" s="1" t="str">
        <f t="shared" si="0"/>
        <v xml:space="preserve"> Hawaii</v>
      </c>
      <c r="J60" s="1" t="str">
        <f t="shared" si="1"/>
        <v>Urban Honolulu CDP</v>
      </c>
      <c r="K60" s="1">
        <f>IF(COUNTIF($I$5:I60,I60)=1,1,0)</f>
        <v>1</v>
      </c>
    </row>
    <row r="61" spans="1:11" x14ac:dyDescent="0.2">
      <c r="A61" s="9">
        <v>57</v>
      </c>
      <c r="B61" s="5" t="s">
        <v>56</v>
      </c>
      <c r="C61" s="6">
        <v>346810</v>
      </c>
      <c r="D61" s="6">
        <v>346665</v>
      </c>
      <c r="E61" s="6">
        <v>344803</v>
      </c>
      <c r="F61" s="6">
        <v>343626</v>
      </c>
      <c r="G61" s="6">
        <v>342883</v>
      </c>
      <c r="H61" s="6">
        <v>344561</v>
      </c>
      <c r="I61" s="1" t="str">
        <f t="shared" si="0"/>
        <v xml:space="preserve"> California</v>
      </c>
      <c r="J61" s="1" t="str">
        <f t="shared" si="1"/>
        <v>Anaheim city</v>
      </c>
      <c r="K61" s="1">
        <f>IF(COUNTIF($I$5:I61,I61)=1,1,0)</f>
        <v>0</v>
      </c>
    </row>
    <row r="62" spans="1:11" x14ac:dyDescent="0.2">
      <c r="A62" s="9">
        <v>58</v>
      </c>
      <c r="B62" s="5" t="s">
        <v>57</v>
      </c>
      <c r="C62" s="6">
        <v>307785</v>
      </c>
      <c r="D62" s="6">
        <v>307868</v>
      </c>
      <c r="E62" s="6">
        <v>309928</v>
      </c>
      <c r="F62" s="6">
        <v>318821</v>
      </c>
      <c r="G62" s="6">
        <v>327390</v>
      </c>
      <c r="H62" s="6">
        <v>334854</v>
      </c>
      <c r="I62" s="1" t="str">
        <f t="shared" si="0"/>
        <v xml:space="preserve"> Florida</v>
      </c>
      <c r="J62" s="1" t="str">
        <f t="shared" si="1"/>
        <v>Orlando city</v>
      </c>
      <c r="K62" s="1">
        <f>IF(COUNTIF($I$5:I62,I62)=1,1,0)</f>
        <v>0</v>
      </c>
    </row>
    <row r="63" spans="1:11" x14ac:dyDescent="0.2">
      <c r="A63" s="9">
        <v>59</v>
      </c>
      <c r="B63" s="5" t="s">
        <v>58</v>
      </c>
      <c r="C63" s="6">
        <v>322566</v>
      </c>
      <c r="D63" s="6">
        <v>322628</v>
      </c>
      <c r="E63" s="6">
        <v>320431</v>
      </c>
      <c r="F63" s="6">
        <v>321505</v>
      </c>
      <c r="G63" s="6">
        <v>324624</v>
      </c>
      <c r="H63" s="6">
        <v>329437</v>
      </c>
      <c r="I63" s="1" t="str">
        <f t="shared" si="0"/>
        <v xml:space="preserve"> Kentucky</v>
      </c>
      <c r="J63" s="1" t="str">
        <f t="shared" si="1"/>
        <v>Lexington-Fayette urban county</v>
      </c>
      <c r="K63" s="1">
        <f>IF(COUNTIF($I$5:I63,I63)=1,1,0)</f>
        <v>0</v>
      </c>
    </row>
    <row r="64" spans="1:11" x14ac:dyDescent="0.2">
      <c r="A64" s="9">
        <v>60</v>
      </c>
      <c r="B64" s="5" t="s">
        <v>59</v>
      </c>
      <c r="C64" s="6">
        <v>320802</v>
      </c>
      <c r="D64" s="6">
        <v>320971</v>
      </c>
      <c r="E64" s="6">
        <v>321737</v>
      </c>
      <c r="F64" s="6">
        <v>321374</v>
      </c>
      <c r="G64" s="6">
        <v>322581</v>
      </c>
      <c r="H64" s="6">
        <v>324975</v>
      </c>
      <c r="I64" s="1" t="str">
        <f t="shared" si="0"/>
        <v xml:space="preserve"> California</v>
      </c>
      <c r="J64" s="1" t="str">
        <f t="shared" si="1"/>
        <v>Stockton city</v>
      </c>
      <c r="K64" s="1">
        <f>IF(COUNTIF($I$5:I64,I64)=1,1,0)</f>
        <v>0</v>
      </c>
    </row>
    <row r="65" spans="1:11" x14ac:dyDescent="0.2">
      <c r="A65" s="9">
        <v>61</v>
      </c>
      <c r="B65" s="5" t="s">
        <v>60</v>
      </c>
      <c r="C65" s="6">
        <v>315478</v>
      </c>
      <c r="D65" s="6">
        <v>315534</v>
      </c>
      <c r="E65" s="6">
        <v>314157</v>
      </c>
      <c r="F65" s="6">
        <v>320339</v>
      </c>
      <c r="G65" s="6">
        <v>321560</v>
      </c>
      <c r="H65" s="6">
        <v>323757</v>
      </c>
      <c r="I65" s="1" t="str">
        <f t="shared" si="0"/>
        <v xml:space="preserve"> California</v>
      </c>
      <c r="J65" s="1" t="str">
        <f t="shared" si="1"/>
        <v>Riverside city</v>
      </c>
      <c r="K65" s="1">
        <f>IF(COUNTIF($I$5:I65,I65)=1,1,0)</f>
        <v>0</v>
      </c>
    </row>
    <row r="66" spans="1:11" x14ac:dyDescent="0.2">
      <c r="A66" s="9">
        <v>62</v>
      </c>
      <c r="B66" s="5" t="s">
        <v>61</v>
      </c>
      <c r="C66" s="6">
        <v>307682</v>
      </c>
      <c r="D66" s="6">
        <v>308450</v>
      </c>
      <c r="E66" s="6">
        <v>303431</v>
      </c>
      <c r="F66" s="6">
        <v>312918</v>
      </c>
      <c r="G66" s="6">
        <v>315065</v>
      </c>
      <c r="H66" s="6">
        <v>318683</v>
      </c>
      <c r="I66" s="1" t="str">
        <f t="shared" si="0"/>
        <v xml:space="preserve"> California</v>
      </c>
      <c r="J66" s="1" t="str">
        <f t="shared" si="1"/>
        <v>Irvine city</v>
      </c>
      <c r="K66" s="1">
        <f>IF(COUNTIF($I$5:I66,I66)=1,1,0)</f>
        <v>0</v>
      </c>
    </row>
    <row r="67" spans="1:11" x14ac:dyDescent="0.2">
      <c r="A67" s="9">
        <v>63</v>
      </c>
      <c r="B67" s="5" t="s">
        <v>62</v>
      </c>
      <c r="C67" s="6">
        <v>318066</v>
      </c>
      <c r="D67" s="6">
        <v>318285</v>
      </c>
      <c r="E67" s="6">
        <v>318162</v>
      </c>
      <c r="F67" s="6">
        <v>316441</v>
      </c>
      <c r="G67" s="6">
        <v>316978</v>
      </c>
      <c r="H67" s="6">
        <v>317317</v>
      </c>
      <c r="I67" s="1" t="str">
        <f t="shared" si="0"/>
        <v xml:space="preserve"> Texas</v>
      </c>
      <c r="J67" s="1" t="str">
        <f t="shared" si="1"/>
        <v>Corpus Christi city</v>
      </c>
      <c r="K67" s="1">
        <f>IF(COUNTIF($I$5:I67,I67)=1,1,0)</f>
        <v>0</v>
      </c>
    </row>
    <row r="68" spans="1:11" x14ac:dyDescent="0.2">
      <c r="A68" s="9">
        <v>64</v>
      </c>
      <c r="B68" s="5" t="s">
        <v>63</v>
      </c>
      <c r="C68" s="6">
        <v>311553</v>
      </c>
      <c r="D68" s="6">
        <v>310665</v>
      </c>
      <c r="E68" s="6">
        <v>307456</v>
      </c>
      <c r="F68" s="6">
        <v>306333</v>
      </c>
      <c r="G68" s="6">
        <v>309225</v>
      </c>
      <c r="H68" s="6">
        <v>317303</v>
      </c>
      <c r="I68" s="1" t="str">
        <f t="shared" si="0"/>
        <v xml:space="preserve"> New Jersey</v>
      </c>
      <c r="J68" s="1" t="str">
        <f t="shared" si="1"/>
        <v>Newark city</v>
      </c>
      <c r="K68" s="1">
        <f>IF(COUNTIF($I$5:I68,I68)=1,1,0)</f>
        <v>1</v>
      </c>
    </row>
    <row r="69" spans="1:11" x14ac:dyDescent="0.2">
      <c r="A69" s="9">
        <v>65</v>
      </c>
      <c r="B69" s="5" t="s">
        <v>64</v>
      </c>
      <c r="C69" s="6">
        <v>310534</v>
      </c>
      <c r="D69" s="6">
        <v>311226</v>
      </c>
      <c r="E69" s="6">
        <v>311004</v>
      </c>
      <c r="F69" s="6">
        <v>311755</v>
      </c>
      <c r="G69" s="6">
        <v>312642</v>
      </c>
      <c r="H69" s="6">
        <v>316184</v>
      </c>
      <c r="I69" s="1" t="str">
        <f t="shared" si="0"/>
        <v xml:space="preserve"> California</v>
      </c>
      <c r="J69" s="1" t="str">
        <f t="shared" si="1"/>
        <v>Santa Ana city</v>
      </c>
      <c r="K69" s="1">
        <f>IF(COUNTIF($I$5:I69,I69)=1,1,0)</f>
        <v>0</v>
      </c>
    </row>
    <row r="70" spans="1:11" x14ac:dyDescent="0.2">
      <c r="A70" s="9">
        <v>66</v>
      </c>
      <c r="B70" s="5" t="s">
        <v>65</v>
      </c>
      <c r="C70" s="6">
        <v>309561</v>
      </c>
      <c r="D70" s="6">
        <v>309604</v>
      </c>
      <c r="E70" s="6">
        <v>308701</v>
      </c>
      <c r="F70" s="6">
        <v>310211</v>
      </c>
      <c r="G70" s="6">
        <v>312703</v>
      </c>
      <c r="H70" s="6">
        <v>314915</v>
      </c>
      <c r="I70" s="1" t="str">
        <f t="shared" ref="I70:I133" si="2">_xlfn.TEXTAFTER(B70,",")</f>
        <v xml:space="preserve"> Ohio</v>
      </c>
      <c r="J70" s="1" t="str">
        <f t="shared" ref="J70:J133" si="3">_xlfn.TEXTBEFORE(B70,", ")</f>
        <v>Cincinnati city</v>
      </c>
      <c r="K70" s="1">
        <f>IF(COUNTIF($I$5:I70,I70)=1,1,0)</f>
        <v>0</v>
      </c>
    </row>
    <row r="71" spans="1:11" x14ac:dyDescent="0.2">
      <c r="A71" s="9">
        <v>67</v>
      </c>
      <c r="B71" s="5" t="s">
        <v>66</v>
      </c>
      <c r="C71" s="6">
        <v>302960</v>
      </c>
      <c r="D71" s="6">
        <v>302798</v>
      </c>
      <c r="E71" s="6">
        <v>305427</v>
      </c>
      <c r="F71" s="6">
        <v>303057</v>
      </c>
      <c r="G71" s="6">
        <v>304766</v>
      </c>
      <c r="H71" s="6">
        <v>307668</v>
      </c>
      <c r="I71" s="1" t="str">
        <f t="shared" si="2"/>
        <v xml:space="preserve"> Pennsylvania</v>
      </c>
      <c r="J71" s="1" t="str">
        <f t="shared" si="3"/>
        <v>Pittsburgh city</v>
      </c>
      <c r="K71" s="1">
        <f>IF(COUNTIF($I$5:I71,I71)=1,1,0)</f>
        <v>0</v>
      </c>
    </row>
    <row r="72" spans="1:11" x14ac:dyDescent="0.2">
      <c r="A72" s="9">
        <v>68</v>
      </c>
      <c r="B72" s="5" t="s">
        <v>67</v>
      </c>
      <c r="C72" s="6">
        <v>311483</v>
      </c>
      <c r="D72" s="6">
        <v>311127</v>
      </c>
      <c r="E72" s="6">
        <v>307666</v>
      </c>
      <c r="F72" s="6">
        <v>305034</v>
      </c>
      <c r="G72" s="6">
        <v>305147</v>
      </c>
      <c r="H72" s="6">
        <v>307465</v>
      </c>
      <c r="I72" s="1" t="str">
        <f t="shared" si="2"/>
        <v xml:space="preserve"> Minnesota</v>
      </c>
      <c r="J72" s="1" t="str">
        <f t="shared" si="3"/>
        <v>St. Paul city</v>
      </c>
      <c r="K72" s="1">
        <f>IF(COUNTIF($I$5:I72,I72)=1,1,0)</f>
        <v>0</v>
      </c>
    </row>
    <row r="73" spans="1:11" x14ac:dyDescent="0.2">
      <c r="A73" s="9">
        <v>69</v>
      </c>
      <c r="B73" s="5" t="s">
        <v>68</v>
      </c>
      <c r="C73" s="6">
        <v>299190</v>
      </c>
      <c r="D73" s="6">
        <v>295873</v>
      </c>
      <c r="E73" s="6">
        <v>297851</v>
      </c>
      <c r="F73" s="6">
        <v>301039</v>
      </c>
      <c r="G73" s="6">
        <v>303889</v>
      </c>
      <c r="H73" s="6">
        <v>307381</v>
      </c>
      <c r="I73" s="1" t="str">
        <f t="shared" si="2"/>
        <v xml:space="preserve"> North Carolina</v>
      </c>
      <c r="J73" s="1" t="str">
        <f t="shared" si="3"/>
        <v>Greensboro city</v>
      </c>
      <c r="K73" s="1">
        <f>IF(COUNTIF($I$5:I73,I73)=1,1,0)</f>
        <v>0</v>
      </c>
    </row>
    <row r="74" spans="1:11" x14ac:dyDescent="0.2">
      <c r="A74" s="9">
        <v>70</v>
      </c>
      <c r="B74" s="5" t="s">
        <v>69</v>
      </c>
      <c r="C74" s="6">
        <v>292749</v>
      </c>
      <c r="D74" s="6">
        <v>291960</v>
      </c>
      <c r="E74" s="6">
        <v>285143</v>
      </c>
      <c r="F74" s="6">
        <v>292360</v>
      </c>
      <c r="G74" s="6">
        <v>298215</v>
      </c>
      <c r="H74" s="6">
        <v>302824</v>
      </c>
      <c r="I74" s="1" t="str">
        <f t="shared" si="2"/>
        <v xml:space="preserve"> New Jersey</v>
      </c>
      <c r="J74" s="1" t="str">
        <f t="shared" si="3"/>
        <v>Jersey City city</v>
      </c>
      <c r="K74" s="1">
        <f>IF(COUNTIF($I$5:I74,I74)=1,1,0)</f>
        <v>0</v>
      </c>
    </row>
    <row r="75" spans="1:11" x14ac:dyDescent="0.2">
      <c r="A75" s="9">
        <v>71</v>
      </c>
      <c r="B75" s="5" t="s">
        <v>70</v>
      </c>
      <c r="C75" s="6">
        <v>283827</v>
      </c>
      <c r="D75" s="6">
        <v>281679</v>
      </c>
      <c r="E75" s="6">
        <v>286652</v>
      </c>
      <c r="F75" s="6">
        <v>290982</v>
      </c>
      <c r="G75" s="6">
        <v>296382</v>
      </c>
      <c r="H75" s="6">
        <v>301870</v>
      </c>
      <c r="I75" s="1" t="str">
        <f t="shared" si="2"/>
        <v xml:space="preserve"> North Carolina</v>
      </c>
      <c r="J75" s="1" t="str">
        <f t="shared" si="3"/>
        <v>Durham city</v>
      </c>
      <c r="K75" s="1">
        <f>IF(COUNTIF($I$5:I75,I75)=1,1,0)</f>
        <v>0</v>
      </c>
    </row>
    <row r="76" spans="1:11" x14ac:dyDescent="0.2">
      <c r="A76" s="9">
        <v>72</v>
      </c>
      <c r="B76" s="5" t="s">
        <v>71</v>
      </c>
      <c r="C76" s="6">
        <v>291333</v>
      </c>
      <c r="D76" s="6">
        <v>291837</v>
      </c>
      <c r="E76" s="6">
        <v>291691</v>
      </c>
      <c r="F76" s="6">
        <v>293306</v>
      </c>
      <c r="G76" s="6">
        <v>296810</v>
      </c>
      <c r="H76" s="6">
        <v>300619</v>
      </c>
      <c r="I76" s="1" t="str">
        <f t="shared" si="2"/>
        <v xml:space="preserve"> Nebraska</v>
      </c>
      <c r="J76" s="1" t="str">
        <f t="shared" si="3"/>
        <v>Lincoln city</v>
      </c>
      <c r="K76" s="1">
        <f>IF(COUNTIF($I$5:I76,I76)=1,1,0)</f>
        <v>0</v>
      </c>
    </row>
    <row r="77" spans="1:11" x14ac:dyDescent="0.2">
      <c r="A77" s="9">
        <v>73</v>
      </c>
      <c r="B77" s="5" t="s">
        <v>72</v>
      </c>
      <c r="C77" s="6">
        <v>259472</v>
      </c>
      <c r="D77" s="6">
        <v>261173</v>
      </c>
      <c r="E77" s="6">
        <v>271063</v>
      </c>
      <c r="F77" s="6">
        <v>280093</v>
      </c>
      <c r="G77" s="6">
        <v>286692</v>
      </c>
      <c r="H77" s="6">
        <v>294034</v>
      </c>
      <c r="I77" s="1" t="str">
        <f t="shared" si="2"/>
        <v xml:space="preserve"> Nevada</v>
      </c>
      <c r="J77" s="1" t="str">
        <f t="shared" si="3"/>
        <v>North Las Vegas city</v>
      </c>
      <c r="K77" s="1">
        <f>IF(COUNTIF($I$5:I77,I77)=1,1,0)</f>
        <v>0</v>
      </c>
    </row>
    <row r="78" spans="1:11" x14ac:dyDescent="0.2">
      <c r="A78" s="9">
        <v>74</v>
      </c>
      <c r="B78" s="5" t="s">
        <v>73</v>
      </c>
      <c r="C78" s="6">
        <v>285464</v>
      </c>
      <c r="D78" s="6">
        <v>286422</v>
      </c>
      <c r="E78" s="6">
        <v>288876</v>
      </c>
      <c r="F78" s="6">
        <v>291079</v>
      </c>
      <c r="G78" s="6">
        <v>293413</v>
      </c>
      <c r="H78" s="6">
        <v>293286</v>
      </c>
      <c r="I78" s="1" t="str">
        <f t="shared" si="2"/>
        <v xml:space="preserve"> Texas</v>
      </c>
      <c r="J78" s="1" t="str">
        <f t="shared" si="3"/>
        <v>Plano city</v>
      </c>
      <c r="K78" s="1">
        <f>IF(COUNTIF($I$5:I78,I78)=1,1,0)</f>
        <v>0</v>
      </c>
    </row>
    <row r="79" spans="1:11" x14ac:dyDescent="0.2">
      <c r="A79" s="9">
        <v>75</v>
      </c>
      <c r="B79" s="5" t="s">
        <v>74</v>
      </c>
      <c r="C79" s="6">
        <v>291246</v>
      </c>
      <c r="D79" s="6">
        <v>290905</v>
      </c>
      <c r="E79" s="6">
        <v>288921</v>
      </c>
      <c r="F79" s="6">
        <v>287520</v>
      </c>
      <c r="G79" s="6">
        <v>287932</v>
      </c>
      <c r="H79" s="6">
        <v>289600</v>
      </c>
      <c r="I79" s="1" t="str">
        <f t="shared" si="2"/>
        <v xml:space="preserve"> Alaska</v>
      </c>
      <c r="J79" s="1" t="str">
        <f t="shared" si="3"/>
        <v>Anchorage municipality</v>
      </c>
      <c r="K79" s="1">
        <f>IF(COUNTIF($I$5:I79,I79)=1,1,0)</f>
        <v>1</v>
      </c>
    </row>
    <row r="80" spans="1:11" x14ac:dyDescent="0.2">
      <c r="A80" s="9">
        <v>76</v>
      </c>
      <c r="B80" s="5" t="s">
        <v>75</v>
      </c>
      <c r="C80" s="6">
        <v>267882</v>
      </c>
      <c r="D80" s="6">
        <v>269429</v>
      </c>
      <c r="E80" s="6">
        <v>274421</v>
      </c>
      <c r="F80" s="6">
        <v>281946</v>
      </c>
      <c r="G80" s="6">
        <v>286632</v>
      </c>
      <c r="H80" s="6">
        <v>288790</v>
      </c>
      <c r="I80" s="1" t="str">
        <f t="shared" si="2"/>
        <v xml:space="preserve"> Arizona</v>
      </c>
      <c r="J80" s="1" t="str">
        <f t="shared" si="3"/>
        <v>Gilbert town</v>
      </c>
      <c r="K80" s="1">
        <f>IF(COUNTIF($I$5:I80,I80)=1,1,0)</f>
        <v>0</v>
      </c>
    </row>
    <row r="81" spans="1:11" x14ac:dyDescent="0.2">
      <c r="A81" s="9">
        <v>77</v>
      </c>
      <c r="B81" s="5" t="s">
        <v>76</v>
      </c>
      <c r="C81" s="6">
        <v>274667</v>
      </c>
      <c r="D81" s="6">
        <v>274884</v>
      </c>
      <c r="E81" s="6">
        <v>271139</v>
      </c>
      <c r="F81" s="6">
        <v>277416</v>
      </c>
      <c r="G81" s="6">
        <v>281162</v>
      </c>
      <c r="H81" s="6">
        <v>285300</v>
      </c>
      <c r="I81" s="1" t="str">
        <f t="shared" si="2"/>
        <v xml:space="preserve"> Wisconsin</v>
      </c>
      <c r="J81" s="1" t="str">
        <f t="shared" si="3"/>
        <v>Madison city</v>
      </c>
      <c r="K81" s="1">
        <f>IF(COUNTIF($I$5:I81,I81)=1,1,0)</f>
        <v>0</v>
      </c>
    </row>
    <row r="82" spans="1:11" x14ac:dyDescent="0.2">
      <c r="A82" s="9">
        <v>78</v>
      </c>
      <c r="B82" s="5" t="s">
        <v>77</v>
      </c>
      <c r="C82" s="6">
        <v>264146</v>
      </c>
      <c r="D82" s="6">
        <v>264990</v>
      </c>
      <c r="E82" s="6">
        <v>270060</v>
      </c>
      <c r="F82" s="6">
        <v>273249</v>
      </c>
      <c r="G82" s="6">
        <v>276078</v>
      </c>
      <c r="H82" s="6">
        <v>281714</v>
      </c>
      <c r="I82" s="1" t="str">
        <f t="shared" si="2"/>
        <v xml:space="preserve"> Nevada</v>
      </c>
      <c r="J82" s="1" t="str">
        <f t="shared" si="3"/>
        <v>Reno city</v>
      </c>
      <c r="K82" s="1">
        <f>IF(COUNTIF($I$5:I82,I82)=1,1,0)</f>
        <v>0</v>
      </c>
    </row>
    <row r="83" spans="1:11" x14ac:dyDescent="0.2">
      <c r="A83" s="9">
        <v>79</v>
      </c>
      <c r="B83" s="5" t="s">
        <v>78</v>
      </c>
      <c r="C83" s="6">
        <v>276103</v>
      </c>
      <c r="D83" s="6">
        <v>277429</v>
      </c>
      <c r="E83" s="6">
        <v>279667</v>
      </c>
      <c r="F83" s="6">
        <v>280996</v>
      </c>
      <c r="G83" s="6">
        <v>281543</v>
      </c>
      <c r="H83" s="6">
        <v>281231</v>
      </c>
      <c r="I83" s="1" t="str">
        <f t="shared" si="2"/>
        <v xml:space="preserve"> Arizona</v>
      </c>
      <c r="J83" s="1" t="str">
        <f t="shared" si="3"/>
        <v>Chandler city</v>
      </c>
      <c r="K83" s="1">
        <f>IF(COUNTIF($I$5:I83,I83)=1,1,0)</f>
        <v>0</v>
      </c>
    </row>
    <row r="84" spans="1:11" x14ac:dyDescent="0.2">
      <c r="A84" s="9">
        <v>80</v>
      </c>
      <c r="B84" s="5" t="s">
        <v>79</v>
      </c>
      <c r="C84" s="6">
        <v>301371</v>
      </c>
      <c r="D84" s="6">
        <v>300315</v>
      </c>
      <c r="E84" s="6">
        <v>293484</v>
      </c>
      <c r="F84" s="6">
        <v>286292</v>
      </c>
      <c r="G84" s="6">
        <v>282772</v>
      </c>
      <c r="H84" s="6">
        <v>279695</v>
      </c>
      <c r="I84" s="1" t="str">
        <f t="shared" si="2"/>
        <v xml:space="preserve"> Missouri</v>
      </c>
      <c r="J84" s="1" t="str">
        <f t="shared" si="3"/>
        <v>St. Louis city</v>
      </c>
      <c r="K84" s="1">
        <f>IF(COUNTIF($I$5:I84,I84)=1,1,0)</f>
        <v>0</v>
      </c>
    </row>
    <row r="85" spans="1:11" x14ac:dyDescent="0.2">
      <c r="A85" s="9">
        <v>81</v>
      </c>
      <c r="B85" s="5" t="s">
        <v>80</v>
      </c>
      <c r="C85" s="6">
        <v>275494</v>
      </c>
      <c r="D85" s="6">
        <v>275808</v>
      </c>
      <c r="E85" s="6">
        <v>275745</v>
      </c>
      <c r="F85" s="6">
        <v>275516</v>
      </c>
      <c r="G85" s="6">
        <v>276181</v>
      </c>
      <c r="H85" s="6">
        <v>278546</v>
      </c>
      <c r="I85" s="1" t="str">
        <f t="shared" si="2"/>
        <v xml:space="preserve"> California</v>
      </c>
      <c r="J85" s="1" t="str">
        <f t="shared" si="3"/>
        <v>Chula Vista city</v>
      </c>
      <c r="K85" s="1">
        <f>IF(COUNTIF($I$5:I85,I85)=1,1,0)</f>
        <v>0</v>
      </c>
    </row>
    <row r="86" spans="1:11" x14ac:dyDescent="0.2">
      <c r="A86" s="9">
        <v>82</v>
      </c>
      <c r="B86" s="5" t="s">
        <v>81</v>
      </c>
      <c r="C86" s="6">
        <v>278286</v>
      </c>
      <c r="D86" s="6">
        <v>277558</v>
      </c>
      <c r="E86" s="6">
        <v>277728</v>
      </c>
      <c r="F86" s="6">
        <v>275907</v>
      </c>
      <c r="G86" s="6">
        <v>276376</v>
      </c>
      <c r="H86" s="6">
        <v>276617</v>
      </c>
      <c r="I86" s="1" t="str">
        <f t="shared" si="2"/>
        <v xml:space="preserve"> New York</v>
      </c>
      <c r="J86" s="1" t="str">
        <f t="shared" si="3"/>
        <v>Buffalo city</v>
      </c>
      <c r="K86" s="1">
        <f>IF(COUNTIF($I$5:I86,I86)=1,1,0)</f>
        <v>0</v>
      </c>
    </row>
    <row r="87" spans="1:11" x14ac:dyDescent="0.2">
      <c r="A87" s="9">
        <v>83</v>
      </c>
      <c r="B87" s="5" t="s">
        <v>82</v>
      </c>
      <c r="C87" s="6">
        <v>263914</v>
      </c>
      <c r="D87" s="6">
        <v>264394</v>
      </c>
      <c r="E87" s="6">
        <v>266455</v>
      </c>
      <c r="F87" s="6">
        <v>268394</v>
      </c>
      <c r="G87" s="6">
        <v>270408</v>
      </c>
      <c r="H87" s="6">
        <v>273203</v>
      </c>
      <c r="I87" s="1" t="str">
        <f t="shared" si="2"/>
        <v xml:space="preserve"> Indiana</v>
      </c>
      <c r="J87" s="1" t="str">
        <f t="shared" si="3"/>
        <v>Fort Wayne city</v>
      </c>
      <c r="K87" s="1">
        <f>IF(COUNTIF($I$5:I87,I87)=1,1,0)</f>
        <v>0</v>
      </c>
    </row>
    <row r="88" spans="1:11" x14ac:dyDescent="0.2">
      <c r="A88" s="9">
        <v>84</v>
      </c>
      <c r="B88" s="5" t="s">
        <v>83</v>
      </c>
      <c r="C88" s="6">
        <v>257206</v>
      </c>
      <c r="D88" s="6">
        <v>258050</v>
      </c>
      <c r="E88" s="6">
        <v>261308</v>
      </c>
      <c r="F88" s="6">
        <v>264573</v>
      </c>
      <c r="G88" s="6">
        <v>268053</v>
      </c>
      <c r="H88" s="6">
        <v>272086</v>
      </c>
      <c r="I88" s="1" t="str">
        <f t="shared" si="2"/>
        <v xml:space="preserve"> Texas</v>
      </c>
      <c r="J88" s="1" t="str">
        <f t="shared" si="3"/>
        <v>Lubbock city</v>
      </c>
      <c r="K88" s="1">
        <f>IF(COUNTIF($I$5:I88,I88)=1,1,0)</f>
        <v>0</v>
      </c>
    </row>
    <row r="89" spans="1:11" x14ac:dyDescent="0.2">
      <c r="A89" s="9">
        <v>85</v>
      </c>
      <c r="B89" s="5" t="s">
        <v>84</v>
      </c>
      <c r="C89" s="6">
        <v>258344</v>
      </c>
      <c r="D89" s="6">
        <v>259271</v>
      </c>
      <c r="E89" s="6">
        <v>259598</v>
      </c>
      <c r="F89" s="6">
        <v>262502</v>
      </c>
      <c r="G89" s="6">
        <v>265083</v>
      </c>
      <c r="H89" s="6">
        <v>267102</v>
      </c>
      <c r="I89" s="1" t="str">
        <f t="shared" si="2"/>
        <v xml:space="preserve"> Florida</v>
      </c>
      <c r="J89" s="1" t="str">
        <f t="shared" si="3"/>
        <v>St. Petersburg city</v>
      </c>
      <c r="K89" s="1">
        <f>IF(COUNTIF($I$5:I89,I89)=1,1,0)</f>
        <v>0</v>
      </c>
    </row>
    <row r="90" spans="1:11" x14ac:dyDescent="0.2">
      <c r="A90" s="9">
        <v>86</v>
      </c>
      <c r="B90" s="5" t="s">
        <v>85</v>
      </c>
      <c r="C90" s="6">
        <v>270877</v>
      </c>
      <c r="D90" s="6">
        <v>270285</v>
      </c>
      <c r="E90" s="6">
        <v>268860</v>
      </c>
      <c r="F90" s="6">
        <v>266637</v>
      </c>
      <c r="G90" s="6">
        <v>265798</v>
      </c>
      <c r="H90" s="6">
        <v>265638</v>
      </c>
      <c r="I90" s="1" t="str">
        <f t="shared" si="2"/>
        <v xml:space="preserve"> Ohio</v>
      </c>
      <c r="J90" s="1" t="str">
        <f t="shared" si="3"/>
        <v>Toledo city</v>
      </c>
      <c r="K90" s="1">
        <f>IF(COUNTIF($I$5:I90,I90)=1,1,0)</f>
        <v>0</v>
      </c>
    </row>
    <row r="91" spans="1:11" x14ac:dyDescent="0.2">
      <c r="A91" s="9">
        <v>87</v>
      </c>
      <c r="B91" s="5" t="s">
        <v>86</v>
      </c>
      <c r="C91" s="6">
        <v>255211</v>
      </c>
      <c r="D91" s="6">
        <v>255495</v>
      </c>
      <c r="E91" s="6">
        <v>255727</v>
      </c>
      <c r="F91" s="6">
        <v>256650</v>
      </c>
      <c r="G91" s="6">
        <v>258922</v>
      </c>
      <c r="H91" s="6">
        <v>261260</v>
      </c>
      <c r="I91" s="1" t="str">
        <f t="shared" si="2"/>
        <v xml:space="preserve"> Texas</v>
      </c>
      <c r="J91" s="1" t="str">
        <f t="shared" si="3"/>
        <v>Laredo city</v>
      </c>
      <c r="K91" s="1">
        <f>IF(COUNTIF($I$5:I91,I91)=1,1,0)</f>
        <v>0</v>
      </c>
    </row>
    <row r="92" spans="1:11" x14ac:dyDescent="0.2">
      <c r="A92" s="9">
        <v>88</v>
      </c>
      <c r="B92" s="5" t="s">
        <v>87</v>
      </c>
      <c r="C92" s="6">
        <v>204859</v>
      </c>
      <c r="D92" s="6">
        <v>206828</v>
      </c>
      <c r="E92" s="6">
        <v>217895</v>
      </c>
      <c r="F92" s="6">
        <v>232467</v>
      </c>
      <c r="G92" s="6">
        <v>246695</v>
      </c>
      <c r="H92" s="6">
        <v>258575</v>
      </c>
      <c r="I92" s="1" t="str">
        <f t="shared" si="2"/>
        <v xml:space="preserve"> Florida</v>
      </c>
      <c r="J92" s="1" t="str">
        <f t="shared" si="3"/>
        <v>Port St. Lucie city</v>
      </c>
      <c r="K92" s="1">
        <f>IF(COUNTIF($I$5:I92,I92)=1,1,0)</f>
        <v>0</v>
      </c>
    </row>
    <row r="93" spans="1:11" x14ac:dyDescent="0.2">
      <c r="A93" s="9">
        <v>89</v>
      </c>
      <c r="B93" s="5" t="s">
        <v>88</v>
      </c>
      <c r="C93" s="6">
        <v>248399</v>
      </c>
      <c r="D93" s="6">
        <v>248938</v>
      </c>
      <c r="E93" s="6">
        <v>249842</v>
      </c>
      <c r="F93" s="6">
        <v>252162</v>
      </c>
      <c r="G93" s="6">
        <v>255001</v>
      </c>
      <c r="H93" s="6">
        <v>258143</v>
      </c>
      <c r="I93" s="1" t="str">
        <f t="shared" si="2"/>
        <v xml:space="preserve"> Arizona</v>
      </c>
      <c r="J93" s="1" t="str">
        <f t="shared" si="3"/>
        <v>Glendale city</v>
      </c>
      <c r="K93" s="1">
        <f>IF(COUNTIF($I$5:I93,I93)=1,1,0)</f>
        <v>0</v>
      </c>
    </row>
    <row r="94" spans="1:11" x14ac:dyDescent="0.2">
      <c r="A94" s="9">
        <v>90</v>
      </c>
      <c r="B94" s="5" t="s">
        <v>89</v>
      </c>
      <c r="C94" s="6">
        <v>256781</v>
      </c>
      <c r="D94" s="6">
        <v>256907</v>
      </c>
      <c r="E94" s="6">
        <v>254526</v>
      </c>
      <c r="F94" s="6">
        <v>255420</v>
      </c>
      <c r="G94" s="6">
        <v>257509</v>
      </c>
      <c r="H94" s="6">
        <v>258060</v>
      </c>
      <c r="I94" s="1" t="str">
        <f t="shared" si="2"/>
        <v xml:space="preserve"> Texas</v>
      </c>
      <c r="J94" s="1" t="str">
        <f t="shared" si="3"/>
        <v>Irving city</v>
      </c>
      <c r="K94" s="1">
        <f>IF(COUNTIF($I$5:I94,I94)=1,1,0)</f>
        <v>0</v>
      </c>
    </row>
    <row r="95" spans="1:11" x14ac:dyDescent="0.2">
      <c r="A95" s="9">
        <v>91</v>
      </c>
      <c r="B95" s="5" t="s">
        <v>90</v>
      </c>
      <c r="C95" s="6">
        <v>249567</v>
      </c>
      <c r="D95" s="6">
        <v>249231</v>
      </c>
      <c r="E95" s="6">
        <v>250397</v>
      </c>
      <c r="F95" s="6">
        <v>251411</v>
      </c>
      <c r="G95" s="6">
        <v>253332</v>
      </c>
      <c r="H95" s="6">
        <v>255769</v>
      </c>
      <c r="I95" s="1" t="str">
        <f t="shared" si="2"/>
        <v xml:space="preserve"> North Carolina</v>
      </c>
      <c r="J95" s="1" t="str">
        <f t="shared" si="3"/>
        <v>Winston-Salem city</v>
      </c>
      <c r="K95" s="1">
        <f>IF(COUNTIF($I$5:I95,I95)=1,1,0)</f>
        <v>0</v>
      </c>
    </row>
    <row r="96" spans="1:11" x14ac:dyDescent="0.2">
      <c r="A96" s="9">
        <v>92</v>
      </c>
      <c r="B96" s="5" t="s">
        <v>91</v>
      </c>
      <c r="C96" s="6">
        <v>249302</v>
      </c>
      <c r="D96" s="6">
        <v>249726</v>
      </c>
      <c r="E96" s="6">
        <v>251732</v>
      </c>
      <c r="F96" s="6">
        <v>252493</v>
      </c>
      <c r="G96" s="6">
        <v>253967</v>
      </c>
      <c r="H96" s="6">
        <v>254997</v>
      </c>
      <c r="I96" s="1" t="str">
        <f t="shared" si="2"/>
        <v xml:space="preserve"> Virginia</v>
      </c>
      <c r="J96" s="1" t="str">
        <f t="shared" si="3"/>
        <v>Chesapeake city</v>
      </c>
      <c r="K96" s="1">
        <f>IF(COUNTIF($I$5:I96,I96)=1,1,0)</f>
        <v>0</v>
      </c>
    </row>
    <row r="97" spans="1:11" x14ac:dyDescent="0.2">
      <c r="A97" s="9">
        <v>93</v>
      </c>
      <c r="B97" s="5" t="s">
        <v>92</v>
      </c>
      <c r="C97" s="6">
        <v>246191</v>
      </c>
      <c r="D97" s="6">
        <v>246392</v>
      </c>
      <c r="E97" s="6">
        <v>244391</v>
      </c>
      <c r="F97" s="6">
        <v>246918</v>
      </c>
      <c r="G97" s="6">
        <v>246283</v>
      </c>
      <c r="H97" s="6">
        <v>250431</v>
      </c>
      <c r="I97" s="1" t="str">
        <f t="shared" si="2"/>
        <v xml:space="preserve"> Texas</v>
      </c>
      <c r="J97" s="1" t="str">
        <f t="shared" si="3"/>
        <v>Garland city</v>
      </c>
      <c r="K97" s="1">
        <f>IF(COUNTIF($I$5:I97,I97)=1,1,0)</f>
        <v>0</v>
      </c>
    </row>
    <row r="98" spans="1:11" x14ac:dyDescent="0.2">
      <c r="A98" s="9">
        <v>94</v>
      </c>
      <c r="B98" s="5" t="s">
        <v>93</v>
      </c>
      <c r="C98" s="6">
        <v>241334</v>
      </c>
      <c r="D98" s="6">
        <v>241868</v>
      </c>
      <c r="E98" s="6">
        <v>242715</v>
      </c>
      <c r="F98" s="6">
        <v>243072</v>
      </c>
      <c r="G98" s="6">
        <v>245236</v>
      </c>
      <c r="H98" s="6">
        <v>246170</v>
      </c>
      <c r="I98" s="1" t="str">
        <f t="shared" si="2"/>
        <v xml:space="preserve"> Arizona</v>
      </c>
      <c r="J98" s="1" t="str">
        <f t="shared" si="3"/>
        <v>Scottsdale city</v>
      </c>
      <c r="K98" s="1">
        <f>IF(COUNTIF($I$5:I98,I98)=1,1,0)</f>
        <v>0</v>
      </c>
    </row>
    <row r="99" spans="1:11" x14ac:dyDescent="0.2">
      <c r="A99" s="9">
        <v>95</v>
      </c>
      <c r="B99" s="5" t="s">
        <v>94</v>
      </c>
      <c r="C99" s="6">
        <v>235717</v>
      </c>
      <c r="D99" s="6">
        <v>236043</v>
      </c>
      <c r="E99" s="6">
        <v>238214</v>
      </c>
      <c r="F99" s="6">
        <v>237614</v>
      </c>
      <c r="G99" s="6">
        <v>236433</v>
      </c>
      <c r="H99" s="6">
        <v>237963</v>
      </c>
      <c r="I99" s="1" t="str">
        <f t="shared" si="2"/>
        <v xml:space="preserve"> Idaho</v>
      </c>
      <c r="J99" s="1" t="str">
        <f t="shared" si="3"/>
        <v>Boise City city</v>
      </c>
      <c r="K99" s="1">
        <f>IF(COUNTIF($I$5:I99,I99)=1,1,0)</f>
        <v>1</v>
      </c>
    </row>
    <row r="100" spans="1:11" x14ac:dyDescent="0.2">
      <c r="A100" s="9">
        <v>96</v>
      </c>
      <c r="B100" s="5" t="s">
        <v>95</v>
      </c>
      <c r="C100" s="6">
        <v>223122</v>
      </c>
      <c r="D100" s="6">
        <v>222418</v>
      </c>
      <c r="E100" s="6">
        <v>220957</v>
      </c>
      <c r="F100" s="6">
        <v>223562</v>
      </c>
      <c r="G100" s="6">
        <v>228557</v>
      </c>
      <c r="H100" s="6">
        <v>235388</v>
      </c>
      <c r="I100" s="1" t="str">
        <f t="shared" si="2"/>
        <v xml:space="preserve"> Florida</v>
      </c>
      <c r="J100" s="1" t="str">
        <f t="shared" si="3"/>
        <v>Hialeah city</v>
      </c>
      <c r="K100" s="1">
        <f>IF(COUNTIF($I$5:I100,I100)=1,1,0)</f>
        <v>0</v>
      </c>
    </row>
    <row r="101" spans="1:11" x14ac:dyDescent="0.2">
      <c r="A101" s="9">
        <v>97</v>
      </c>
      <c r="B101" s="5" t="s">
        <v>96</v>
      </c>
      <c r="C101" s="6">
        <v>200537</v>
      </c>
      <c r="D101" s="6">
        <v>202764</v>
      </c>
      <c r="E101" s="6">
        <v>211129</v>
      </c>
      <c r="F101" s="6">
        <v>220421</v>
      </c>
      <c r="G101" s="6">
        <v>227005</v>
      </c>
      <c r="H101" s="6">
        <v>235208</v>
      </c>
      <c r="I101" s="1" t="str">
        <f t="shared" si="2"/>
        <v xml:space="preserve"> Texas</v>
      </c>
      <c r="J101" s="1" t="str">
        <f t="shared" si="3"/>
        <v>Frisco city</v>
      </c>
      <c r="K101" s="1">
        <f>IF(COUNTIF($I$5:I101,I101)=1,1,0)</f>
        <v>0</v>
      </c>
    </row>
    <row r="102" spans="1:11" x14ac:dyDescent="0.2">
      <c r="A102" s="9">
        <v>98</v>
      </c>
      <c r="B102" s="5" t="s">
        <v>97</v>
      </c>
      <c r="C102" s="6">
        <v>226525</v>
      </c>
      <c r="D102" s="6">
        <v>226923</v>
      </c>
      <c r="E102" s="6">
        <v>227164</v>
      </c>
      <c r="F102" s="6">
        <v>228670</v>
      </c>
      <c r="G102" s="6">
        <v>230383</v>
      </c>
      <c r="H102" s="6">
        <v>233655</v>
      </c>
      <c r="I102" s="1" t="str">
        <f t="shared" si="2"/>
        <v xml:space="preserve"> Virginia</v>
      </c>
      <c r="J102" s="1" t="str">
        <f t="shared" si="3"/>
        <v>Richmond city</v>
      </c>
      <c r="K102" s="1">
        <f>IF(COUNTIF($I$5:I102,I102)=1,1,0)</f>
        <v>0</v>
      </c>
    </row>
    <row r="103" spans="1:11" x14ac:dyDescent="0.2">
      <c r="A103" s="9">
        <v>99</v>
      </c>
      <c r="B103" s="5" t="s">
        <v>98</v>
      </c>
      <c r="C103" s="6">
        <v>194001</v>
      </c>
      <c r="D103" s="6">
        <v>195436</v>
      </c>
      <c r="E103" s="6">
        <v>204053</v>
      </c>
      <c r="F103" s="6">
        <v>218013</v>
      </c>
      <c r="G103" s="6">
        <v>227022</v>
      </c>
      <c r="H103" s="6">
        <v>233025</v>
      </c>
      <c r="I103" s="1" t="str">
        <f t="shared" si="2"/>
        <v xml:space="preserve"> Florida</v>
      </c>
      <c r="J103" s="1" t="str">
        <f t="shared" si="3"/>
        <v>Cape Coral city</v>
      </c>
      <c r="K103" s="1">
        <f>IF(COUNTIF($I$5:I103,I103)=1,1,0)</f>
        <v>0</v>
      </c>
    </row>
    <row r="104" spans="1:11" x14ac:dyDescent="0.2">
      <c r="A104" s="9">
        <v>100</v>
      </c>
      <c r="B104" s="5" t="s">
        <v>99</v>
      </c>
      <c r="C104" s="6">
        <v>238029</v>
      </c>
      <c r="D104" s="6">
        <v>237813</v>
      </c>
      <c r="E104" s="6">
        <v>234920</v>
      </c>
      <c r="F104" s="6">
        <v>232766</v>
      </c>
      <c r="G104" s="6">
        <v>231378</v>
      </c>
      <c r="H104" s="6">
        <v>231105</v>
      </c>
      <c r="I104" s="1" t="str">
        <f t="shared" si="2"/>
        <v xml:space="preserve"> Virginia</v>
      </c>
      <c r="J104" s="1" t="str">
        <f t="shared" si="3"/>
        <v>Norfolk city</v>
      </c>
      <c r="K104" s="1">
        <f>IF(COUNTIF($I$5:I104,I104)=1,1,0)</f>
        <v>0</v>
      </c>
    </row>
    <row r="105" spans="1:11" x14ac:dyDescent="0.2">
      <c r="A105" s="9">
        <v>101</v>
      </c>
      <c r="B105" s="5" t="s">
        <v>100</v>
      </c>
      <c r="C105" s="6">
        <v>228973</v>
      </c>
      <c r="D105" s="6">
        <v>229205</v>
      </c>
      <c r="E105" s="6">
        <v>230542</v>
      </c>
      <c r="F105" s="6">
        <v>230777</v>
      </c>
      <c r="G105" s="6">
        <v>230193</v>
      </c>
      <c r="H105" s="6">
        <v>230609</v>
      </c>
      <c r="I105" s="1" t="str">
        <f t="shared" si="2"/>
        <v xml:space="preserve"> Washington</v>
      </c>
      <c r="J105" s="1" t="str">
        <f t="shared" si="3"/>
        <v>Spokane city</v>
      </c>
      <c r="K105" s="1">
        <f>IF(COUNTIF($I$5:I105,I105)=1,1,0)</f>
        <v>0</v>
      </c>
    </row>
    <row r="106" spans="1:11" x14ac:dyDescent="0.2">
      <c r="A106" s="9">
        <v>102</v>
      </c>
      <c r="B106" s="5" t="s">
        <v>101</v>
      </c>
      <c r="C106" s="6">
        <v>215079</v>
      </c>
      <c r="D106" s="6">
        <v>216379</v>
      </c>
      <c r="E106" s="6">
        <v>218725</v>
      </c>
      <c r="F106" s="6">
        <v>222299</v>
      </c>
      <c r="G106" s="6">
        <v>226228</v>
      </c>
      <c r="H106" s="6">
        <v>230402</v>
      </c>
      <c r="I106" s="1" t="str">
        <f t="shared" si="2"/>
        <v xml:space="preserve"> Alabama</v>
      </c>
      <c r="J106" s="1" t="str">
        <f t="shared" si="3"/>
        <v>Huntsville city</v>
      </c>
      <c r="K106" s="1">
        <f>IF(COUNTIF($I$5:I106,I106)=1,1,0)</f>
        <v>1</v>
      </c>
    </row>
    <row r="107" spans="1:11" x14ac:dyDescent="0.2">
      <c r="A107" s="9">
        <v>103</v>
      </c>
      <c r="B107" s="5" t="s">
        <v>102</v>
      </c>
      <c r="C107" s="6">
        <v>232809</v>
      </c>
      <c r="D107" s="6">
        <v>232422</v>
      </c>
      <c r="E107" s="6">
        <v>229779</v>
      </c>
      <c r="F107" s="6">
        <v>229847</v>
      </c>
      <c r="G107" s="6">
        <v>229802</v>
      </c>
      <c r="H107" s="6">
        <v>229159</v>
      </c>
      <c r="I107" s="1" t="str">
        <f t="shared" si="2"/>
        <v xml:space="preserve"> California</v>
      </c>
      <c r="J107" s="1" t="str">
        <f t="shared" si="3"/>
        <v>Santa Clarita city</v>
      </c>
      <c r="K107" s="1">
        <f>IF(COUNTIF($I$5:I107,I107)=1,1,0)</f>
        <v>0</v>
      </c>
    </row>
    <row r="108" spans="1:11" x14ac:dyDescent="0.2">
      <c r="A108" s="9">
        <v>104</v>
      </c>
      <c r="B108" s="5" t="s">
        <v>103</v>
      </c>
      <c r="C108" s="6">
        <v>219210</v>
      </c>
      <c r="D108" s="6">
        <v>219756</v>
      </c>
      <c r="E108" s="6">
        <v>219938</v>
      </c>
      <c r="F108" s="6">
        <v>220993</v>
      </c>
      <c r="G108" s="6">
        <v>224886</v>
      </c>
      <c r="H108" s="6">
        <v>228202</v>
      </c>
      <c r="I108" s="1" t="str">
        <f t="shared" si="2"/>
        <v xml:space="preserve"> Washington</v>
      </c>
      <c r="J108" s="1" t="str">
        <f t="shared" si="3"/>
        <v>Tacoma city</v>
      </c>
      <c r="K108" s="1">
        <f>IF(COUNTIF($I$5:I108,I108)=1,1,0)</f>
        <v>0</v>
      </c>
    </row>
    <row r="109" spans="1:11" x14ac:dyDescent="0.2">
      <c r="A109" s="9">
        <v>105</v>
      </c>
      <c r="B109" s="5" t="s">
        <v>104</v>
      </c>
      <c r="C109" s="6">
        <v>230497</v>
      </c>
      <c r="D109" s="6">
        <v>230445</v>
      </c>
      <c r="E109" s="6">
        <v>227910</v>
      </c>
      <c r="F109" s="6">
        <v>227359</v>
      </c>
      <c r="G109" s="6">
        <v>227587</v>
      </c>
      <c r="H109" s="6">
        <v>228192</v>
      </c>
      <c r="I109" s="1" t="str">
        <f t="shared" si="2"/>
        <v xml:space="preserve"> California</v>
      </c>
      <c r="J109" s="1" t="str">
        <f t="shared" si="3"/>
        <v>Fremont city</v>
      </c>
      <c r="K109" s="1">
        <f>IF(COUNTIF($I$5:I109,I109)=1,1,0)</f>
        <v>0</v>
      </c>
    </row>
    <row r="110" spans="1:11" x14ac:dyDescent="0.2">
      <c r="A110" s="9">
        <v>106</v>
      </c>
      <c r="B110" s="5" t="s">
        <v>105</v>
      </c>
      <c r="C110" s="6">
        <v>195333</v>
      </c>
      <c r="D110" s="6">
        <v>197510</v>
      </c>
      <c r="E110" s="6">
        <v>203530</v>
      </c>
      <c r="F110" s="6">
        <v>208534</v>
      </c>
      <c r="G110" s="6">
        <v>215862</v>
      </c>
      <c r="H110" s="6">
        <v>227526</v>
      </c>
      <c r="I110" s="1" t="str">
        <f t="shared" si="2"/>
        <v xml:space="preserve"> Texas</v>
      </c>
      <c r="J110" s="1" t="str">
        <f t="shared" si="3"/>
        <v>McKinney city</v>
      </c>
      <c r="K110" s="1">
        <f>IF(COUNTIF($I$5:I110,I110)=1,1,0)</f>
        <v>0</v>
      </c>
    </row>
    <row r="111" spans="1:11" x14ac:dyDescent="0.2">
      <c r="A111" s="9">
        <v>107</v>
      </c>
      <c r="B111" s="5" t="s">
        <v>106</v>
      </c>
      <c r="C111" s="6">
        <v>222100</v>
      </c>
      <c r="D111" s="6">
        <v>222119</v>
      </c>
      <c r="E111" s="6">
        <v>220644</v>
      </c>
      <c r="F111" s="6">
        <v>222444</v>
      </c>
      <c r="G111" s="6">
        <v>223676</v>
      </c>
      <c r="H111" s="6">
        <v>224775</v>
      </c>
      <c r="I111" s="1" t="str">
        <f t="shared" si="2"/>
        <v xml:space="preserve"> California</v>
      </c>
      <c r="J111" s="1" t="str">
        <f t="shared" si="3"/>
        <v>San Bernardino city</v>
      </c>
      <c r="K111" s="1">
        <f>IF(COUNTIF($I$5:I111,I111)=1,1,0)</f>
        <v>0</v>
      </c>
    </row>
    <row r="112" spans="1:11" x14ac:dyDescent="0.2">
      <c r="A112" s="9">
        <v>108</v>
      </c>
      <c r="B112" s="5" t="s">
        <v>107</v>
      </c>
      <c r="C112" s="6">
        <v>226926</v>
      </c>
      <c r="D112" s="6">
        <v>226275</v>
      </c>
      <c r="E112" s="6">
        <v>224115</v>
      </c>
      <c r="F112" s="6">
        <v>221770</v>
      </c>
      <c r="G112" s="6">
        <v>220773</v>
      </c>
      <c r="H112" s="6">
        <v>220907</v>
      </c>
      <c r="I112" s="1" t="str">
        <f t="shared" si="2"/>
        <v xml:space="preserve"> Louisiana</v>
      </c>
      <c r="J112" s="1" t="str">
        <f t="shared" si="3"/>
        <v>Baton Rouge city</v>
      </c>
      <c r="K112" s="1">
        <f>IF(COUNTIF($I$5:I112,I112)=1,1,0)</f>
        <v>0</v>
      </c>
    </row>
    <row r="113" spans="1:11" x14ac:dyDescent="0.2">
      <c r="A113" s="9">
        <v>109</v>
      </c>
      <c r="B113" s="5" t="s">
        <v>108</v>
      </c>
      <c r="C113" s="6">
        <v>218504</v>
      </c>
      <c r="D113" s="6">
        <v>218717</v>
      </c>
      <c r="E113" s="6">
        <v>218657</v>
      </c>
      <c r="F113" s="6">
        <v>218578</v>
      </c>
      <c r="G113" s="6">
        <v>219432</v>
      </c>
      <c r="H113" s="6">
        <v>220592</v>
      </c>
      <c r="I113" s="1" t="str">
        <f t="shared" si="2"/>
        <v xml:space="preserve"> California</v>
      </c>
      <c r="J113" s="1" t="str">
        <f t="shared" si="3"/>
        <v>Modesto city</v>
      </c>
      <c r="K113" s="1">
        <f>IF(COUNTIF($I$5:I113,I113)=1,1,0)</f>
        <v>0</v>
      </c>
    </row>
    <row r="114" spans="1:11" x14ac:dyDescent="0.2">
      <c r="A114" s="9">
        <v>110</v>
      </c>
      <c r="B114" s="5" t="s">
        <v>109</v>
      </c>
      <c r="C114" s="6">
        <v>208407</v>
      </c>
      <c r="D114" s="6">
        <v>209186</v>
      </c>
      <c r="E114" s="6">
        <v>212476</v>
      </c>
      <c r="F114" s="6">
        <v>214577</v>
      </c>
      <c r="G114" s="6">
        <v>216100</v>
      </c>
      <c r="H114" s="6">
        <v>218455</v>
      </c>
      <c r="I114" s="1" t="str">
        <f t="shared" si="2"/>
        <v xml:space="preserve"> California</v>
      </c>
      <c r="J114" s="1" t="str">
        <f t="shared" si="3"/>
        <v>Fontana city</v>
      </c>
      <c r="K114" s="1">
        <f>IF(COUNTIF($I$5:I114,I114)=1,1,0)</f>
        <v>0</v>
      </c>
    </row>
    <row r="115" spans="1:11" x14ac:dyDescent="0.2">
      <c r="A115" s="9">
        <v>111</v>
      </c>
      <c r="B115" s="5" t="s">
        <v>110</v>
      </c>
      <c r="C115" s="6">
        <v>199712</v>
      </c>
      <c r="D115" s="6">
        <v>200666</v>
      </c>
      <c r="E115" s="6">
        <v>201161</v>
      </c>
      <c r="F115" s="6">
        <v>208579</v>
      </c>
      <c r="G115" s="6">
        <v>211833</v>
      </c>
      <c r="H115" s="6">
        <v>217783</v>
      </c>
      <c r="I115" s="1" t="str">
        <f t="shared" si="2"/>
        <v xml:space="preserve"> Utah</v>
      </c>
      <c r="J115" s="1" t="str">
        <f t="shared" si="3"/>
        <v>Salt Lake City city</v>
      </c>
      <c r="K115" s="1">
        <f>IF(COUNTIF($I$5:I115,I115)=1,1,0)</f>
        <v>1</v>
      </c>
    </row>
    <row r="116" spans="1:11" x14ac:dyDescent="0.2">
      <c r="A116" s="9">
        <v>112</v>
      </c>
      <c r="B116" s="5" t="s">
        <v>111</v>
      </c>
      <c r="C116" s="6">
        <v>208644</v>
      </c>
      <c r="D116" s="6">
        <v>208862</v>
      </c>
      <c r="E116" s="6">
        <v>210924</v>
      </c>
      <c r="F116" s="6">
        <v>211851</v>
      </c>
      <c r="G116" s="6">
        <v>212770</v>
      </c>
      <c r="H116" s="6">
        <v>213919</v>
      </c>
      <c r="I116" s="1" t="str">
        <f t="shared" si="2"/>
        <v xml:space="preserve"> California</v>
      </c>
      <c r="J116" s="1" t="str">
        <f t="shared" si="3"/>
        <v>Moreno Valley city</v>
      </c>
      <c r="K116" s="1">
        <f>IF(COUNTIF($I$5:I116,I116)=1,1,0)</f>
        <v>0</v>
      </c>
    </row>
    <row r="117" spans="1:11" x14ac:dyDescent="0.2">
      <c r="A117" s="9">
        <v>113</v>
      </c>
      <c r="B117" s="5" t="s">
        <v>112</v>
      </c>
      <c r="C117" s="6">
        <v>214058</v>
      </c>
      <c r="D117" s="6">
        <v>213769</v>
      </c>
      <c r="E117" s="6">
        <v>212539</v>
      </c>
      <c r="F117" s="6">
        <v>210950</v>
      </c>
      <c r="G117" s="6">
        <v>211088</v>
      </c>
      <c r="H117" s="6">
        <v>213096</v>
      </c>
      <c r="I117" s="1" t="str">
        <f t="shared" si="2"/>
        <v xml:space="preserve"> Iowa</v>
      </c>
      <c r="J117" s="1" t="str">
        <f t="shared" si="3"/>
        <v>Des Moines city</v>
      </c>
      <c r="K117" s="1">
        <f>IF(COUNTIF($I$5:I117,I117)=1,1,0)</f>
        <v>1</v>
      </c>
    </row>
    <row r="118" spans="1:11" x14ac:dyDescent="0.2">
      <c r="A118" s="9">
        <v>114</v>
      </c>
      <c r="B118" s="5" t="s">
        <v>113</v>
      </c>
      <c r="C118" s="6">
        <v>206511</v>
      </c>
      <c r="D118" s="6">
        <v>202475</v>
      </c>
      <c r="E118" s="6">
        <v>205656</v>
      </c>
      <c r="F118" s="6">
        <v>206602</v>
      </c>
      <c r="G118" s="6">
        <v>209211</v>
      </c>
      <c r="H118" s="6">
        <v>211286</v>
      </c>
      <c r="I118" s="1" t="str">
        <f t="shared" si="2"/>
        <v xml:space="preserve"> Massachusetts</v>
      </c>
      <c r="J118" s="1" t="str">
        <f t="shared" si="3"/>
        <v>Worcester city</v>
      </c>
      <c r="K118" s="1">
        <f>IF(COUNTIF($I$5:I118,I118)=1,1,0)</f>
        <v>0</v>
      </c>
    </row>
    <row r="119" spans="1:11" x14ac:dyDescent="0.2">
      <c r="A119" s="9">
        <v>115</v>
      </c>
      <c r="B119" s="5" t="s">
        <v>114</v>
      </c>
      <c r="C119" s="6">
        <v>211575</v>
      </c>
      <c r="D119" s="6">
        <v>210995</v>
      </c>
      <c r="E119" s="6">
        <v>210104</v>
      </c>
      <c r="F119" s="6">
        <v>208768</v>
      </c>
      <c r="G119" s="6">
        <v>208922</v>
      </c>
      <c r="H119" s="6">
        <v>211040</v>
      </c>
      <c r="I119" s="1" t="str">
        <f t="shared" si="2"/>
        <v xml:space="preserve"> New York</v>
      </c>
      <c r="J119" s="1" t="str">
        <f t="shared" si="3"/>
        <v>Yonkers city</v>
      </c>
      <c r="K119" s="1">
        <f>IF(COUNTIF($I$5:I119,I119)=1,1,0)</f>
        <v>0</v>
      </c>
    </row>
    <row r="120" spans="1:11" x14ac:dyDescent="0.2">
      <c r="A120" s="9">
        <v>116</v>
      </c>
      <c r="B120" s="5" t="s">
        <v>115</v>
      </c>
      <c r="C120" s="6">
        <v>208472</v>
      </c>
      <c r="D120" s="6">
        <v>210894</v>
      </c>
      <c r="E120" s="6">
        <v>212265</v>
      </c>
      <c r="F120" s="6">
        <v>211425</v>
      </c>
      <c r="G120" s="6">
        <v>209873</v>
      </c>
      <c r="H120" s="6">
        <v>209496</v>
      </c>
      <c r="I120" s="1" t="str">
        <f t="shared" si="2"/>
        <v xml:space="preserve"> North Carolina</v>
      </c>
      <c r="J120" s="1" t="str">
        <f t="shared" si="3"/>
        <v>Fayetteville city</v>
      </c>
      <c r="K120" s="1">
        <f>IF(COUNTIF($I$5:I120,I120)=1,1,0)</f>
        <v>0</v>
      </c>
    </row>
    <row r="121" spans="1:11" x14ac:dyDescent="0.2">
      <c r="A121" s="9">
        <v>117</v>
      </c>
      <c r="B121" s="5" t="s">
        <v>116</v>
      </c>
      <c r="C121" s="6">
        <v>192721</v>
      </c>
      <c r="D121" s="6">
        <v>193448</v>
      </c>
      <c r="E121" s="6">
        <v>196833</v>
      </c>
      <c r="F121" s="6">
        <v>201936</v>
      </c>
      <c r="G121" s="6">
        <v>205968</v>
      </c>
      <c r="H121" s="6">
        <v>209289</v>
      </c>
      <c r="I121" s="1" t="str">
        <f t="shared" si="2"/>
        <v xml:space="preserve"> South Dakota</v>
      </c>
      <c r="J121" s="1" t="str">
        <f t="shared" si="3"/>
        <v>Sioux Falls city</v>
      </c>
      <c r="K121" s="1">
        <f>IF(COUNTIF($I$5:I121,I121)=1,1,0)</f>
        <v>1</v>
      </c>
    </row>
    <row r="122" spans="1:11" x14ac:dyDescent="0.2">
      <c r="A122" s="9">
        <v>118</v>
      </c>
      <c r="B122" s="5" t="s">
        <v>117</v>
      </c>
      <c r="C122" s="6">
        <v>196075</v>
      </c>
      <c r="D122" s="6">
        <v>196201</v>
      </c>
      <c r="E122" s="6">
        <v>197313</v>
      </c>
      <c r="F122" s="6">
        <v>202220</v>
      </c>
      <c r="G122" s="6">
        <v>204067</v>
      </c>
      <c r="H122" s="6">
        <v>207331</v>
      </c>
      <c r="I122" s="1" t="str">
        <f t="shared" si="2"/>
        <v xml:space="preserve"> Texas</v>
      </c>
      <c r="J122" s="1" t="str">
        <f t="shared" si="3"/>
        <v>Grand Prairie city</v>
      </c>
      <c r="K122" s="1">
        <f>IF(COUNTIF($I$5:I122,I122)=1,1,0)</f>
        <v>0</v>
      </c>
    </row>
    <row r="123" spans="1:11" x14ac:dyDescent="0.2">
      <c r="A123" s="9">
        <v>119</v>
      </c>
      <c r="B123" s="5" t="s">
        <v>118</v>
      </c>
      <c r="C123" s="6">
        <v>211318</v>
      </c>
      <c r="D123" s="6">
        <v>210892</v>
      </c>
      <c r="E123" s="6">
        <v>210285</v>
      </c>
      <c r="F123" s="6">
        <v>208203</v>
      </c>
      <c r="G123" s="6">
        <v>207235</v>
      </c>
      <c r="H123" s="6">
        <v>207282</v>
      </c>
      <c r="I123" s="1" t="str">
        <f t="shared" si="2"/>
        <v xml:space="preserve"> New York</v>
      </c>
      <c r="J123" s="1" t="str">
        <f t="shared" si="3"/>
        <v>Rochester city</v>
      </c>
      <c r="K123" s="1">
        <f>IF(COUNTIF($I$5:I123,I123)=1,1,0)</f>
        <v>0</v>
      </c>
    </row>
    <row r="124" spans="1:11" x14ac:dyDescent="0.2">
      <c r="A124" s="9">
        <v>120</v>
      </c>
      <c r="B124" s="5" t="s">
        <v>119</v>
      </c>
      <c r="C124" s="6">
        <v>196181</v>
      </c>
      <c r="D124" s="6">
        <v>197934</v>
      </c>
      <c r="E124" s="6">
        <v>200269</v>
      </c>
      <c r="F124" s="6">
        <v>202316</v>
      </c>
      <c r="G124" s="6">
        <v>203665</v>
      </c>
      <c r="H124" s="6">
        <v>205089</v>
      </c>
      <c r="I124" s="1" t="str">
        <f t="shared" si="2"/>
        <v xml:space="preserve"> Florida</v>
      </c>
      <c r="J124" s="1" t="str">
        <f t="shared" si="3"/>
        <v>Tallahassee city</v>
      </c>
      <c r="K124" s="1">
        <f>IF(COUNTIF($I$5:I124,I124)=1,1,0)</f>
        <v>0</v>
      </c>
    </row>
    <row r="125" spans="1:11" x14ac:dyDescent="0.2">
      <c r="A125" s="9">
        <v>121</v>
      </c>
      <c r="B125" s="5" t="s">
        <v>120</v>
      </c>
      <c r="C125" s="6">
        <v>202531</v>
      </c>
      <c r="D125" s="6">
        <v>202607</v>
      </c>
      <c r="E125" s="6">
        <v>202141</v>
      </c>
      <c r="F125" s="6">
        <v>203416</v>
      </c>
      <c r="G125" s="6">
        <v>204235</v>
      </c>
      <c r="H125" s="6">
        <v>204774</v>
      </c>
      <c r="I125" s="1" t="str">
        <f t="shared" si="2"/>
        <v xml:space="preserve"> Arkansas</v>
      </c>
      <c r="J125" s="1" t="str">
        <f t="shared" si="3"/>
        <v>Little Rock city</v>
      </c>
      <c r="K125" s="1">
        <f>IF(COUNTIF($I$5:I125,I125)=1,1,0)</f>
        <v>1</v>
      </c>
    </row>
    <row r="126" spans="1:11" x14ac:dyDescent="0.2">
      <c r="A126" s="9">
        <v>122</v>
      </c>
      <c r="B126" s="5" t="s">
        <v>121</v>
      </c>
      <c r="C126" s="6">
        <v>200414</v>
      </c>
      <c r="D126" s="6">
        <v>200567</v>
      </c>
      <c r="E126" s="6">
        <v>200825</v>
      </c>
      <c r="F126" s="6">
        <v>201475</v>
      </c>
      <c r="G126" s="6">
        <v>202734</v>
      </c>
      <c r="H126" s="6">
        <v>203729</v>
      </c>
      <c r="I126" s="1" t="str">
        <f t="shared" si="2"/>
        <v xml:space="preserve"> Texas</v>
      </c>
      <c r="J126" s="1" t="str">
        <f t="shared" si="3"/>
        <v>Amarillo city</v>
      </c>
      <c r="K126" s="1">
        <f>IF(COUNTIF($I$5:I126,I126)=1,1,0)</f>
        <v>0</v>
      </c>
    </row>
    <row r="127" spans="1:11" x14ac:dyDescent="0.2">
      <c r="A127" s="9">
        <v>123</v>
      </c>
      <c r="B127" s="5" t="s">
        <v>122</v>
      </c>
      <c r="C127" s="6">
        <v>197246</v>
      </c>
      <c r="D127" s="6">
        <v>197852</v>
      </c>
      <c r="E127" s="6">
        <v>199088</v>
      </c>
      <c r="F127" s="6">
        <v>200353</v>
      </c>
      <c r="G127" s="6">
        <v>201223</v>
      </c>
      <c r="H127" s="6">
        <v>202893</v>
      </c>
      <c r="I127" s="1" t="str">
        <f t="shared" si="2"/>
        <v xml:space="preserve"> Kansas</v>
      </c>
      <c r="J127" s="1" t="str">
        <f t="shared" si="3"/>
        <v>Overland Park city</v>
      </c>
      <c r="K127" s="1">
        <f>IF(COUNTIF($I$5:I127,I127)=1,1,0)</f>
        <v>0</v>
      </c>
    </row>
    <row r="128" spans="1:11" x14ac:dyDescent="0.2">
      <c r="A128" s="9">
        <v>124</v>
      </c>
      <c r="B128" s="5" t="s">
        <v>123</v>
      </c>
      <c r="C128" s="6">
        <v>206918</v>
      </c>
      <c r="D128" s="6">
        <v>207015</v>
      </c>
      <c r="E128" s="6">
        <v>205094</v>
      </c>
      <c r="F128" s="6">
        <v>202658</v>
      </c>
      <c r="G128" s="6">
        <v>201959</v>
      </c>
      <c r="H128" s="6">
        <v>201830</v>
      </c>
      <c r="I128" s="1" t="str">
        <f t="shared" si="2"/>
        <v xml:space="preserve"> Georgia</v>
      </c>
      <c r="J128" s="1" t="str">
        <f t="shared" si="3"/>
        <v>Columbus city</v>
      </c>
      <c r="K128" s="1">
        <f>IF(COUNTIF($I$5:I128,I128)=1,1,0)</f>
        <v>0</v>
      </c>
    </row>
    <row r="129" spans="1:11" x14ac:dyDescent="0.2">
      <c r="A129" s="9">
        <v>125</v>
      </c>
      <c r="B129" s="5" t="s">
        <v>124</v>
      </c>
      <c r="C129" s="6">
        <v>202075</v>
      </c>
      <c r="D129" s="6">
        <v>202031</v>
      </c>
      <c r="E129" s="6">
        <v>200811</v>
      </c>
      <c r="F129" s="6">
        <v>201967</v>
      </c>
      <c r="G129" s="6">
        <v>201108</v>
      </c>
      <c r="H129" s="6">
        <v>201737</v>
      </c>
      <c r="I129" s="1" t="str">
        <f t="shared" si="2"/>
        <v xml:space="preserve"> Georgia</v>
      </c>
      <c r="J129" s="1" t="str">
        <f t="shared" si="3"/>
        <v>Augusta-Richmond County consolidated government (balance)</v>
      </c>
      <c r="K129" s="1">
        <f>IF(COUNTIF($I$5:I129,I129)=1,1,0)</f>
        <v>0</v>
      </c>
    </row>
    <row r="130" spans="1:11" x14ac:dyDescent="0.2">
      <c r="A130" s="9">
        <v>126</v>
      </c>
      <c r="B130" s="5" t="s">
        <v>125</v>
      </c>
      <c r="C130" s="6">
        <v>206932</v>
      </c>
      <c r="D130" s="6">
        <v>206488</v>
      </c>
      <c r="E130" s="6">
        <v>204655</v>
      </c>
      <c r="F130" s="6">
        <v>202584</v>
      </c>
      <c r="G130" s="6">
        <v>201920</v>
      </c>
      <c r="H130" s="6">
        <v>201367</v>
      </c>
      <c r="I130" s="1" t="str">
        <f t="shared" si="2"/>
        <v xml:space="preserve"> Alabama</v>
      </c>
      <c r="J130" s="1" t="str">
        <f t="shared" si="3"/>
        <v>Mobile city</v>
      </c>
      <c r="K130" s="1">
        <f>IF(COUNTIF($I$5:I130,I130)=1,1,0)</f>
        <v>0</v>
      </c>
    </row>
    <row r="131" spans="1:11" x14ac:dyDescent="0.2">
      <c r="A131" s="9">
        <v>127</v>
      </c>
      <c r="B131" s="5" t="s">
        <v>126</v>
      </c>
      <c r="C131" s="6">
        <v>202059</v>
      </c>
      <c r="D131" s="6">
        <v>201908</v>
      </c>
      <c r="E131" s="6">
        <v>201774</v>
      </c>
      <c r="F131" s="6">
        <v>200499</v>
      </c>
      <c r="G131" s="6">
        <v>199764</v>
      </c>
      <c r="H131" s="6">
        <v>200616</v>
      </c>
      <c r="I131" s="1" t="str">
        <f t="shared" si="2"/>
        <v xml:space="preserve"> California</v>
      </c>
      <c r="J131" s="1" t="str">
        <f t="shared" si="3"/>
        <v>Oxnard city</v>
      </c>
      <c r="K131" s="1">
        <f>IF(COUNTIF($I$5:I131,I131)=1,1,0)</f>
        <v>0</v>
      </c>
    </row>
    <row r="132" spans="1:11" x14ac:dyDescent="0.2">
      <c r="A132" s="9">
        <v>128</v>
      </c>
      <c r="B132" s="5" t="s">
        <v>127</v>
      </c>
      <c r="C132" s="6">
        <v>198910</v>
      </c>
      <c r="D132" s="6">
        <v>198735</v>
      </c>
      <c r="E132" s="6">
        <v>197757</v>
      </c>
      <c r="F132" s="6">
        <v>197694</v>
      </c>
      <c r="G132" s="6">
        <v>198270</v>
      </c>
      <c r="H132" s="6">
        <v>200117</v>
      </c>
      <c r="I132" s="1" t="str">
        <f t="shared" si="2"/>
        <v xml:space="preserve"> Michigan</v>
      </c>
      <c r="J132" s="1" t="str">
        <f t="shared" si="3"/>
        <v>Grand Rapids city</v>
      </c>
      <c r="K132" s="1">
        <f>IF(COUNTIF($I$5:I132,I132)=1,1,0)</f>
        <v>0</v>
      </c>
    </row>
    <row r="133" spans="1:11" x14ac:dyDescent="0.2">
      <c r="A133" s="9">
        <v>129</v>
      </c>
      <c r="B133" s="5" t="s">
        <v>128</v>
      </c>
      <c r="C133" s="6">
        <v>190988</v>
      </c>
      <c r="D133" s="6">
        <v>191989</v>
      </c>
      <c r="E133" s="6">
        <v>194946</v>
      </c>
      <c r="F133" s="6">
        <v>197869</v>
      </c>
      <c r="G133" s="6">
        <v>199649</v>
      </c>
      <c r="H133" s="6">
        <v>199924</v>
      </c>
      <c r="I133" s="1" t="str">
        <f t="shared" si="2"/>
        <v xml:space="preserve"> Arizona</v>
      </c>
      <c r="J133" s="1" t="str">
        <f t="shared" si="3"/>
        <v>Peoria city</v>
      </c>
      <c r="K133" s="1">
        <f>IF(COUNTIF($I$5:I133,I133)=1,1,0)</f>
        <v>0</v>
      </c>
    </row>
    <row r="134" spans="1:11" x14ac:dyDescent="0.2">
      <c r="A134" s="9">
        <v>130</v>
      </c>
      <c r="B134" s="5" t="s">
        <v>129</v>
      </c>
      <c r="C134" s="6">
        <v>190887</v>
      </c>
      <c r="D134" s="6">
        <v>191284</v>
      </c>
      <c r="E134" s="6">
        <v>193475</v>
      </c>
      <c r="F134" s="6">
        <v>194995</v>
      </c>
      <c r="G134" s="6">
        <v>197733</v>
      </c>
      <c r="H134" s="6">
        <v>198992</v>
      </c>
      <c r="I134" s="1" t="str">
        <f t="shared" ref="I134:I197" si="4">_xlfn.TEXTAFTER(B134,",")</f>
        <v xml:space="preserve"> Washington</v>
      </c>
      <c r="J134" s="1" t="str">
        <f t="shared" ref="J134:J197" si="5">_xlfn.TEXTBEFORE(B134,", ")</f>
        <v>Vancouver city</v>
      </c>
      <c r="K134" s="1">
        <f>IF(COUNTIF($I$5:I134,I134)=1,1,0)</f>
        <v>0</v>
      </c>
    </row>
    <row r="135" spans="1:11" x14ac:dyDescent="0.2">
      <c r="A135" s="9">
        <v>131</v>
      </c>
      <c r="B135" s="5" t="s">
        <v>130</v>
      </c>
      <c r="C135" s="6">
        <v>190674</v>
      </c>
      <c r="D135" s="6">
        <v>191227</v>
      </c>
      <c r="E135" s="6">
        <v>192158</v>
      </c>
      <c r="F135" s="6">
        <v>196210</v>
      </c>
      <c r="G135" s="6">
        <v>197463</v>
      </c>
      <c r="H135" s="6">
        <v>198722</v>
      </c>
      <c r="I135" s="1" t="str">
        <f t="shared" si="4"/>
        <v xml:space="preserve"> Tennessee</v>
      </c>
      <c r="J135" s="1" t="str">
        <f t="shared" si="5"/>
        <v>Knoxville city</v>
      </c>
      <c r="K135" s="1">
        <f>IF(COUNTIF($I$5:I135,I135)=1,1,0)</f>
        <v>0</v>
      </c>
    </row>
    <row r="136" spans="1:11" x14ac:dyDescent="0.2">
      <c r="A136" s="9">
        <v>132</v>
      </c>
      <c r="B136" s="5" t="s">
        <v>131</v>
      </c>
      <c r="C136" s="6">
        <v>200542</v>
      </c>
      <c r="D136" s="6">
        <v>200270</v>
      </c>
      <c r="E136" s="6">
        <v>197645</v>
      </c>
      <c r="F136" s="6">
        <v>196898</v>
      </c>
      <c r="G136" s="6">
        <v>196818</v>
      </c>
      <c r="H136" s="6">
        <v>196357</v>
      </c>
      <c r="I136" s="1" t="str">
        <f t="shared" si="4"/>
        <v xml:space="preserve"> Alabama</v>
      </c>
      <c r="J136" s="1" t="str">
        <f t="shared" si="5"/>
        <v>Birmingham city</v>
      </c>
      <c r="K136" s="1">
        <f>IF(COUNTIF($I$5:I136,I136)=1,1,0)</f>
        <v>0</v>
      </c>
    </row>
    <row r="137" spans="1:11" x14ac:dyDescent="0.2">
      <c r="A137" s="9">
        <v>133</v>
      </c>
      <c r="B137" s="5" t="s">
        <v>132</v>
      </c>
      <c r="C137" s="6">
        <v>200588</v>
      </c>
      <c r="D137" s="6">
        <v>200048</v>
      </c>
      <c r="E137" s="6">
        <v>198310</v>
      </c>
      <c r="F137" s="6">
        <v>197126</v>
      </c>
      <c r="G137" s="6">
        <v>196107</v>
      </c>
      <c r="H137" s="6">
        <v>195818</v>
      </c>
      <c r="I137" s="1" t="str">
        <f t="shared" si="4"/>
        <v xml:space="preserve"> Alabama</v>
      </c>
      <c r="J137" s="1" t="str">
        <f t="shared" si="5"/>
        <v>Montgomery city</v>
      </c>
      <c r="K137" s="1">
        <f>IF(COUNTIF($I$5:I137,I137)=1,1,0)</f>
        <v>0</v>
      </c>
    </row>
    <row r="138" spans="1:11" x14ac:dyDescent="0.2">
      <c r="A138" s="9">
        <v>134</v>
      </c>
      <c r="B138" s="5" t="s">
        <v>133</v>
      </c>
      <c r="C138" s="6">
        <v>190978</v>
      </c>
      <c r="D138" s="6">
        <v>190803</v>
      </c>
      <c r="E138" s="6">
        <v>190200</v>
      </c>
      <c r="F138" s="6">
        <v>190879</v>
      </c>
      <c r="G138" s="6">
        <v>192606</v>
      </c>
      <c r="H138" s="6">
        <v>194706</v>
      </c>
      <c r="I138" s="1" t="str">
        <f t="shared" si="4"/>
        <v xml:space="preserve"> Rhode Island</v>
      </c>
      <c r="J138" s="1" t="str">
        <f t="shared" si="5"/>
        <v>Providence city</v>
      </c>
      <c r="K138" s="1">
        <f>IF(COUNTIF($I$5:I138,I138)=1,1,0)</f>
        <v>1</v>
      </c>
    </row>
    <row r="139" spans="1:11" x14ac:dyDescent="0.2">
      <c r="A139" s="9">
        <v>135</v>
      </c>
      <c r="B139" s="5" t="s">
        <v>134</v>
      </c>
      <c r="C139" s="6">
        <v>198729</v>
      </c>
      <c r="D139" s="6">
        <v>198422</v>
      </c>
      <c r="E139" s="6">
        <v>196404</v>
      </c>
      <c r="F139" s="6">
        <v>194777</v>
      </c>
      <c r="G139" s="6">
        <v>193334</v>
      </c>
      <c r="H139" s="6">
        <v>193151</v>
      </c>
      <c r="I139" s="1" t="str">
        <f t="shared" si="4"/>
        <v xml:space="preserve"> California</v>
      </c>
      <c r="J139" s="1" t="str">
        <f t="shared" si="5"/>
        <v>Huntington Beach city</v>
      </c>
      <c r="K139" s="1">
        <f>IF(COUNTIF($I$5:I139,I139)=1,1,0)</f>
        <v>0</v>
      </c>
    </row>
    <row r="140" spans="1:11" x14ac:dyDescent="0.2">
      <c r="A140" s="9">
        <v>136</v>
      </c>
      <c r="B140" s="5" t="s">
        <v>135</v>
      </c>
      <c r="C140" s="6">
        <v>186361</v>
      </c>
      <c r="D140" s="6">
        <v>186648</v>
      </c>
      <c r="E140" s="6">
        <v>187415</v>
      </c>
      <c r="F140" s="6">
        <v>189239</v>
      </c>
      <c r="G140" s="6">
        <v>190572</v>
      </c>
      <c r="H140" s="6">
        <v>191967</v>
      </c>
      <c r="I140" s="1" t="str">
        <f t="shared" si="4"/>
        <v xml:space="preserve"> Texas</v>
      </c>
      <c r="J140" s="1" t="str">
        <f t="shared" si="5"/>
        <v>Brownsville city</v>
      </c>
      <c r="K140" s="1">
        <f>IF(COUNTIF($I$5:I140,I140)=1,1,0)</f>
        <v>0</v>
      </c>
    </row>
    <row r="141" spans="1:11" x14ac:dyDescent="0.2">
      <c r="A141" s="9">
        <v>137</v>
      </c>
      <c r="B141" s="5" t="s">
        <v>136</v>
      </c>
      <c r="C141" s="6">
        <v>181671</v>
      </c>
      <c r="D141" s="6">
        <v>182271</v>
      </c>
      <c r="E141" s="6">
        <v>181885</v>
      </c>
      <c r="F141" s="6">
        <v>185030</v>
      </c>
      <c r="G141" s="6">
        <v>188080</v>
      </c>
      <c r="H141" s="6">
        <v>191496</v>
      </c>
      <c r="I141" s="1" t="str">
        <f t="shared" si="4"/>
        <v xml:space="preserve"> Tennessee</v>
      </c>
      <c r="J141" s="1" t="str">
        <f t="shared" si="5"/>
        <v>Chattanooga city</v>
      </c>
      <c r="K141" s="1">
        <f>IF(COUNTIF($I$5:I141,I141)=1,1,0)</f>
        <v>0</v>
      </c>
    </row>
    <row r="142" spans="1:11" x14ac:dyDescent="0.2">
      <c r="A142" s="9">
        <v>138</v>
      </c>
      <c r="B142" s="5" t="s">
        <v>137</v>
      </c>
      <c r="C142" s="6">
        <v>182644</v>
      </c>
      <c r="D142" s="6">
        <v>182765</v>
      </c>
      <c r="E142" s="6">
        <v>181892</v>
      </c>
      <c r="F142" s="6">
        <v>184787</v>
      </c>
      <c r="G142" s="6">
        <v>187872</v>
      </c>
      <c r="H142" s="6">
        <v>190641</v>
      </c>
      <c r="I142" s="1" t="str">
        <f t="shared" si="4"/>
        <v xml:space="preserve"> Florida</v>
      </c>
      <c r="J142" s="1" t="str">
        <f t="shared" si="5"/>
        <v>Fort Lauderdale city</v>
      </c>
      <c r="K142" s="1">
        <f>IF(COUNTIF($I$5:I142,I142)=1,1,0)</f>
        <v>0</v>
      </c>
    </row>
    <row r="143" spans="1:11" x14ac:dyDescent="0.2">
      <c r="A143" s="9">
        <v>139</v>
      </c>
      <c r="B143" s="5" t="s">
        <v>138</v>
      </c>
      <c r="C143" s="6">
        <v>184208</v>
      </c>
      <c r="D143" s="6">
        <v>185313</v>
      </c>
      <c r="E143" s="6">
        <v>184654</v>
      </c>
      <c r="F143" s="6">
        <v>189589</v>
      </c>
      <c r="G143" s="6">
        <v>190651</v>
      </c>
      <c r="H143" s="6">
        <v>190114</v>
      </c>
      <c r="I143" s="1" t="str">
        <f t="shared" si="4"/>
        <v xml:space="preserve"> Arizona</v>
      </c>
      <c r="J143" s="1" t="str">
        <f t="shared" si="5"/>
        <v>Tempe city</v>
      </c>
      <c r="K143" s="1">
        <f>IF(COUNTIF($I$5:I143,I143)=1,1,0)</f>
        <v>0</v>
      </c>
    </row>
    <row r="144" spans="1:11" x14ac:dyDescent="0.2">
      <c r="A144" s="9">
        <v>140</v>
      </c>
      <c r="B144" s="5" t="s">
        <v>139</v>
      </c>
      <c r="C144" s="6">
        <v>190408</v>
      </c>
      <c r="D144" s="6">
        <v>190146</v>
      </c>
      <c r="E144" s="6">
        <v>188644</v>
      </c>
      <c r="F144" s="6">
        <v>188750</v>
      </c>
      <c r="G144" s="6">
        <v>189142</v>
      </c>
      <c r="H144" s="6">
        <v>189664</v>
      </c>
      <c r="I144" s="1" t="str">
        <f t="shared" si="4"/>
        <v xml:space="preserve"> Ohio</v>
      </c>
      <c r="J144" s="1" t="str">
        <f t="shared" si="5"/>
        <v>Akron city</v>
      </c>
      <c r="K144" s="1">
        <f>IF(COUNTIF($I$5:I144,I144)=1,1,0)</f>
        <v>0</v>
      </c>
    </row>
    <row r="145" spans="1:11" x14ac:dyDescent="0.2">
      <c r="A145" s="9">
        <v>141</v>
      </c>
      <c r="B145" s="5" t="s">
        <v>140</v>
      </c>
      <c r="C145" s="6">
        <v>196527</v>
      </c>
      <c r="D145" s="6">
        <v>195947</v>
      </c>
      <c r="E145" s="6">
        <v>191974</v>
      </c>
      <c r="F145" s="6">
        <v>189699</v>
      </c>
      <c r="G145" s="6">
        <v>188283</v>
      </c>
      <c r="H145" s="6">
        <v>187823</v>
      </c>
      <c r="I145" s="1" t="str">
        <f t="shared" si="4"/>
        <v xml:space="preserve"> California</v>
      </c>
      <c r="J145" s="1" t="str">
        <f t="shared" si="5"/>
        <v>Glendale city</v>
      </c>
      <c r="K145" s="1">
        <f>IF(COUNTIF($I$5:I145,I145)=1,1,0)</f>
        <v>0</v>
      </c>
    </row>
    <row r="146" spans="1:11" x14ac:dyDescent="0.2">
      <c r="A146" s="9">
        <v>142</v>
      </c>
      <c r="B146" s="5" t="s">
        <v>141</v>
      </c>
      <c r="C146" s="6">
        <v>166755</v>
      </c>
      <c r="D146" s="6">
        <v>167533</v>
      </c>
      <c r="E146" s="6">
        <v>170862</v>
      </c>
      <c r="F146" s="6">
        <v>177020</v>
      </c>
      <c r="G146" s="6">
        <v>181142</v>
      </c>
      <c r="H146" s="6">
        <v>185690</v>
      </c>
      <c r="I146" s="1" t="str">
        <f t="shared" si="4"/>
        <v xml:space="preserve"> Tennessee</v>
      </c>
      <c r="J146" s="1" t="str">
        <f t="shared" si="5"/>
        <v>Clarksville city</v>
      </c>
      <c r="K146" s="1">
        <f>IF(COUNTIF($I$5:I146,I146)=1,1,0)</f>
        <v>0</v>
      </c>
    </row>
    <row r="147" spans="1:11" x14ac:dyDescent="0.2">
      <c r="A147" s="9">
        <v>143</v>
      </c>
      <c r="B147" s="5" t="s">
        <v>142</v>
      </c>
      <c r="C147" s="6">
        <v>175264</v>
      </c>
      <c r="D147" s="6">
        <v>175723</v>
      </c>
      <c r="E147" s="6">
        <v>178274</v>
      </c>
      <c r="F147" s="6">
        <v>180736</v>
      </c>
      <c r="G147" s="6">
        <v>182782</v>
      </c>
      <c r="H147" s="6">
        <v>185285</v>
      </c>
      <c r="I147" s="1" t="str">
        <f t="shared" si="4"/>
        <v xml:space="preserve"> California</v>
      </c>
      <c r="J147" s="1" t="str">
        <f t="shared" si="5"/>
        <v>Ontario city</v>
      </c>
      <c r="K147" s="1">
        <f>IF(COUNTIF($I$5:I147,I147)=1,1,0)</f>
        <v>0</v>
      </c>
    </row>
    <row r="148" spans="1:11" x14ac:dyDescent="0.2">
      <c r="A148" s="9">
        <v>144</v>
      </c>
      <c r="B148" s="5" t="s">
        <v>143</v>
      </c>
      <c r="C148" s="6">
        <v>186239</v>
      </c>
      <c r="D148" s="6">
        <v>186052</v>
      </c>
      <c r="E148" s="6">
        <v>184717</v>
      </c>
      <c r="F148" s="6">
        <v>184004</v>
      </c>
      <c r="G148" s="6">
        <v>183249</v>
      </c>
      <c r="H148" s="6">
        <v>183056</v>
      </c>
      <c r="I148" s="1" t="str">
        <f t="shared" si="4"/>
        <v xml:space="preserve"> Virginia</v>
      </c>
      <c r="J148" s="1" t="str">
        <f t="shared" si="5"/>
        <v>Newport News city</v>
      </c>
      <c r="K148" s="1">
        <f>IF(COUNTIF($I$5:I148,I148)=1,1,0)</f>
        <v>0</v>
      </c>
    </row>
    <row r="149" spans="1:11" x14ac:dyDescent="0.2">
      <c r="A149" s="9">
        <v>145</v>
      </c>
      <c r="B149" s="5" t="s">
        <v>144</v>
      </c>
      <c r="C149" s="6">
        <v>176138</v>
      </c>
      <c r="D149" s="6">
        <v>176579</v>
      </c>
      <c r="E149" s="6">
        <v>177966</v>
      </c>
      <c r="F149" s="6">
        <v>178468</v>
      </c>
      <c r="G149" s="6">
        <v>179843</v>
      </c>
      <c r="H149" s="6">
        <v>182797</v>
      </c>
      <c r="I149" s="1" t="str">
        <f t="shared" si="4"/>
        <v xml:space="preserve"> California</v>
      </c>
      <c r="J149" s="1" t="str">
        <f t="shared" si="5"/>
        <v>Elk Grove city</v>
      </c>
      <c r="K149" s="1">
        <f>IF(COUNTIF($I$5:I149,I149)=1,1,0)</f>
        <v>0</v>
      </c>
    </row>
    <row r="150" spans="1:11" x14ac:dyDescent="0.2">
      <c r="A150" s="9">
        <v>146</v>
      </c>
      <c r="B150" s="5" t="s">
        <v>145</v>
      </c>
      <c r="C150" s="6">
        <v>174799</v>
      </c>
      <c r="D150" s="6">
        <v>174803</v>
      </c>
      <c r="E150" s="6">
        <v>176928</v>
      </c>
      <c r="F150" s="6">
        <v>180376</v>
      </c>
      <c r="G150" s="6">
        <v>181205</v>
      </c>
      <c r="H150" s="6">
        <v>182659</v>
      </c>
      <c r="I150" s="1" t="str">
        <f t="shared" si="4"/>
        <v xml:space="preserve"> North Carolina</v>
      </c>
      <c r="J150" s="1" t="str">
        <f t="shared" si="5"/>
        <v>Cary town</v>
      </c>
      <c r="K150" s="1">
        <f>IF(COUNTIF($I$5:I150,I150)=1,1,0)</f>
        <v>0</v>
      </c>
    </row>
    <row r="151" spans="1:11" x14ac:dyDescent="0.2">
      <c r="A151" s="9">
        <v>147</v>
      </c>
      <c r="B151" s="5" t="s">
        <v>146</v>
      </c>
      <c r="C151" s="6">
        <v>180529</v>
      </c>
      <c r="D151" s="6">
        <v>180260</v>
      </c>
      <c r="E151" s="6">
        <v>179448</v>
      </c>
      <c r="F151" s="6">
        <v>179195</v>
      </c>
      <c r="G151" s="6">
        <v>179660</v>
      </c>
      <c r="H151" s="6">
        <v>180710</v>
      </c>
      <c r="I151" s="1" t="str">
        <f t="shared" si="4"/>
        <v xml:space="preserve"> Illinois</v>
      </c>
      <c r="J151" s="1" t="str">
        <f t="shared" si="5"/>
        <v>Aurora city</v>
      </c>
      <c r="K151" s="1">
        <f>IF(COUNTIF($I$5:I151,I151)=1,1,0)</f>
        <v>0</v>
      </c>
    </row>
    <row r="152" spans="1:11" x14ac:dyDescent="0.2">
      <c r="A152" s="9">
        <v>148</v>
      </c>
      <c r="B152" s="5" t="s">
        <v>147</v>
      </c>
      <c r="C152" s="6">
        <v>175473</v>
      </c>
      <c r="D152" s="6">
        <v>175977</v>
      </c>
      <c r="E152" s="6">
        <v>178215</v>
      </c>
      <c r="F152" s="6">
        <v>180167</v>
      </c>
      <c r="G152" s="6">
        <v>179519</v>
      </c>
      <c r="H152" s="6">
        <v>180406</v>
      </c>
      <c r="I152" s="1" t="str">
        <f t="shared" si="4"/>
        <v xml:space="preserve"> Oregon</v>
      </c>
      <c r="J152" s="1" t="str">
        <f t="shared" si="5"/>
        <v>Salem city</v>
      </c>
      <c r="K152" s="1">
        <f>IF(COUNTIF($I$5:I152,I152)=1,1,0)</f>
        <v>0</v>
      </c>
    </row>
    <row r="153" spans="1:11" x14ac:dyDescent="0.2">
      <c r="A153" s="9">
        <v>149</v>
      </c>
      <c r="B153" s="5" t="s">
        <v>148</v>
      </c>
      <c r="C153" s="6">
        <v>171185</v>
      </c>
      <c r="D153" s="6">
        <v>171086</v>
      </c>
      <c r="E153" s="6">
        <v>169400</v>
      </c>
      <c r="F153" s="6">
        <v>171573</v>
      </c>
      <c r="G153" s="6">
        <v>174694</v>
      </c>
      <c r="H153" s="6">
        <v>179326</v>
      </c>
      <c r="I153" s="1" t="str">
        <f t="shared" si="4"/>
        <v xml:space="preserve"> Florida</v>
      </c>
      <c r="J153" s="1" t="str">
        <f t="shared" si="5"/>
        <v>Pembroke Pines city</v>
      </c>
      <c r="K153" s="1">
        <f>IF(COUNTIF($I$5:I153,I153)=1,1,0)</f>
        <v>0</v>
      </c>
    </row>
    <row r="154" spans="1:11" x14ac:dyDescent="0.2">
      <c r="A154" s="9">
        <v>150</v>
      </c>
      <c r="B154" s="5" t="s">
        <v>149</v>
      </c>
      <c r="C154" s="6">
        <v>177254</v>
      </c>
      <c r="D154" s="6">
        <v>178436</v>
      </c>
      <c r="E154" s="6">
        <v>180086</v>
      </c>
      <c r="F154" s="6">
        <v>182053</v>
      </c>
      <c r="G154" s="6">
        <v>178686</v>
      </c>
      <c r="H154" s="6">
        <v>178786</v>
      </c>
      <c r="I154" s="1" t="str">
        <f t="shared" si="4"/>
        <v xml:space="preserve"> Oregon</v>
      </c>
      <c r="J154" s="1" t="str">
        <f t="shared" si="5"/>
        <v>Eugene city</v>
      </c>
      <c r="K154" s="1">
        <f>IF(COUNTIF($I$5:I154,I154)=1,1,0)</f>
        <v>0</v>
      </c>
    </row>
    <row r="155" spans="1:11" x14ac:dyDescent="0.2">
      <c r="A155" s="9">
        <v>151</v>
      </c>
      <c r="B155" s="5" t="s">
        <v>150</v>
      </c>
      <c r="C155" s="6">
        <v>178118</v>
      </c>
      <c r="D155" s="6">
        <v>177972</v>
      </c>
      <c r="E155" s="6">
        <v>177338</v>
      </c>
      <c r="F155" s="6">
        <v>176196</v>
      </c>
      <c r="G155" s="6">
        <v>176440</v>
      </c>
      <c r="H155" s="6">
        <v>177524</v>
      </c>
      <c r="I155" s="1" t="str">
        <f t="shared" si="4"/>
        <v xml:space="preserve"> California</v>
      </c>
      <c r="J155" s="1" t="str">
        <f t="shared" si="5"/>
        <v>Santa Rosa city</v>
      </c>
      <c r="K155" s="1">
        <f>IF(COUNTIF($I$5:I155,I155)=1,1,0)</f>
        <v>0</v>
      </c>
    </row>
    <row r="156" spans="1:11" x14ac:dyDescent="0.2">
      <c r="A156" s="9">
        <v>152</v>
      </c>
      <c r="B156" s="5" t="s">
        <v>151</v>
      </c>
      <c r="C156" s="6">
        <v>174620</v>
      </c>
      <c r="D156" s="6">
        <v>174678</v>
      </c>
      <c r="E156" s="6">
        <v>175361</v>
      </c>
      <c r="F156" s="6">
        <v>174993</v>
      </c>
      <c r="G156" s="6">
        <v>175395</v>
      </c>
      <c r="H156" s="6">
        <v>176675</v>
      </c>
      <c r="I156" s="1" t="str">
        <f t="shared" si="4"/>
        <v xml:space="preserve"> California</v>
      </c>
      <c r="J156" s="1" t="str">
        <f t="shared" si="5"/>
        <v>Rancho Cucamonga city</v>
      </c>
      <c r="K156" s="1">
        <f>IF(COUNTIF($I$5:I156,I156)=1,1,0)</f>
        <v>0</v>
      </c>
    </row>
    <row r="157" spans="1:11" x14ac:dyDescent="0.2">
      <c r="A157" s="9">
        <v>153</v>
      </c>
      <c r="B157" s="5" t="s">
        <v>152</v>
      </c>
      <c r="C157" s="6">
        <v>187540</v>
      </c>
      <c r="D157" s="6">
        <v>186796</v>
      </c>
      <c r="E157" s="6">
        <v>183238</v>
      </c>
      <c r="F157" s="6">
        <v>180211</v>
      </c>
      <c r="G157" s="6">
        <v>178017</v>
      </c>
      <c r="H157" s="6">
        <v>176578</v>
      </c>
      <c r="I157" s="1" t="str">
        <f t="shared" si="4"/>
        <v xml:space="preserve"> Louisiana</v>
      </c>
      <c r="J157" s="1" t="str">
        <f t="shared" si="5"/>
        <v>Shreveport city</v>
      </c>
      <c r="K157" s="1">
        <f>IF(COUNTIF($I$5:I157,I157)=1,1,0)</f>
        <v>0</v>
      </c>
    </row>
    <row r="158" spans="1:11" x14ac:dyDescent="0.2">
      <c r="A158" s="9">
        <v>154</v>
      </c>
      <c r="B158" s="5" t="s">
        <v>153</v>
      </c>
      <c r="C158" s="6">
        <v>171976</v>
      </c>
      <c r="D158" s="6">
        <v>171866</v>
      </c>
      <c r="E158" s="6">
        <v>170644</v>
      </c>
      <c r="F158" s="6">
        <v>169865</v>
      </c>
      <c r="G158" s="6">
        <v>170138</v>
      </c>
      <c r="H158" s="6">
        <v>172361</v>
      </c>
      <c r="I158" s="1" t="str">
        <f t="shared" si="4"/>
        <v xml:space="preserve"> California</v>
      </c>
      <c r="J158" s="1" t="str">
        <f t="shared" si="5"/>
        <v>Garden Grove city</v>
      </c>
      <c r="K158" s="1">
        <f>IF(COUNTIF($I$5:I158,I158)=1,1,0)</f>
        <v>0</v>
      </c>
    </row>
    <row r="159" spans="1:11" x14ac:dyDescent="0.2">
      <c r="A159" s="9">
        <v>155</v>
      </c>
      <c r="B159" s="5" t="s">
        <v>154</v>
      </c>
      <c r="C159" s="6">
        <v>174160</v>
      </c>
      <c r="D159" s="6">
        <v>174071</v>
      </c>
      <c r="E159" s="6">
        <v>173023</v>
      </c>
      <c r="F159" s="6">
        <v>171929</v>
      </c>
      <c r="G159" s="6">
        <v>171069</v>
      </c>
      <c r="H159" s="6">
        <v>170941</v>
      </c>
      <c r="I159" s="1" t="str">
        <f t="shared" si="4"/>
        <v xml:space="preserve"> California</v>
      </c>
      <c r="J159" s="1" t="str">
        <f t="shared" si="5"/>
        <v>Oceanside city</v>
      </c>
      <c r="K159" s="1">
        <f>IF(COUNTIF($I$5:I159,I159)=1,1,0)</f>
        <v>0</v>
      </c>
    </row>
    <row r="160" spans="1:11" x14ac:dyDescent="0.2">
      <c r="A160" s="9">
        <v>156</v>
      </c>
      <c r="B160" s="5" t="s">
        <v>155</v>
      </c>
      <c r="C160" s="6">
        <v>169826</v>
      </c>
      <c r="D160" s="6">
        <v>169990</v>
      </c>
      <c r="E160" s="6">
        <v>169302</v>
      </c>
      <c r="F160" s="6">
        <v>170318</v>
      </c>
      <c r="G160" s="6">
        <v>170730</v>
      </c>
      <c r="H160" s="6">
        <v>170924</v>
      </c>
      <c r="I160" s="1" t="str">
        <f t="shared" si="4"/>
        <v xml:space="preserve"> Colorado</v>
      </c>
      <c r="J160" s="1" t="str">
        <f t="shared" si="5"/>
        <v>Fort Collins city</v>
      </c>
      <c r="K160" s="1">
        <f>IF(COUNTIF($I$5:I160,I160)=1,1,0)</f>
        <v>0</v>
      </c>
    </row>
    <row r="161" spans="1:11" x14ac:dyDescent="0.2">
      <c r="A161" s="9">
        <v>157</v>
      </c>
      <c r="B161" s="5" t="s">
        <v>156</v>
      </c>
      <c r="C161" s="6">
        <v>169149</v>
      </c>
      <c r="D161" s="6">
        <v>169158</v>
      </c>
      <c r="E161" s="6">
        <v>169251</v>
      </c>
      <c r="F161" s="6">
        <v>170079</v>
      </c>
      <c r="G161" s="6">
        <v>170446</v>
      </c>
      <c r="H161" s="6">
        <v>170596</v>
      </c>
      <c r="I161" s="1" t="str">
        <f t="shared" si="4"/>
        <v xml:space="preserve"> Missouri</v>
      </c>
      <c r="J161" s="1" t="str">
        <f t="shared" si="5"/>
        <v>Springfield city</v>
      </c>
      <c r="K161" s="1">
        <f>IF(COUNTIF($I$5:I161,I161)=1,1,0)</f>
        <v>0</v>
      </c>
    </row>
    <row r="162" spans="1:11" x14ac:dyDescent="0.2">
      <c r="A162" s="9">
        <v>158</v>
      </c>
      <c r="B162" s="5" t="s">
        <v>157</v>
      </c>
      <c r="C162" s="6">
        <v>152835</v>
      </c>
      <c r="D162" s="6">
        <v>153816</v>
      </c>
      <c r="E162" s="6">
        <v>156473</v>
      </c>
      <c r="F162" s="6">
        <v>162595</v>
      </c>
      <c r="G162" s="6">
        <v>166023</v>
      </c>
      <c r="H162" s="6">
        <v>168387</v>
      </c>
      <c r="I162" s="1" t="str">
        <f t="shared" si="4"/>
        <v xml:space="preserve"> Tennessee</v>
      </c>
      <c r="J162" s="1" t="str">
        <f t="shared" si="5"/>
        <v>Murfreesboro city</v>
      </c>
      <c r="K162" s="1">
        <f>IF(COUNTIF($I$5:I162,I162)=1,1,0)</f>
        <v>0</v>
      </c>
    </row>
    <row r="163" spans="1:11" x14ac:dyDescent="0.2">
      <c r="A163" s="9">
        <v>159</v>
      </c>
      <c r="B163" s="5" t="s">
        <v>158</v>
      </c>
      <c r="C163" s="6">
        <v>143152</v>
      </c>
      <c r="D163" s="6">
        <v>144393</v>
      </c>
      <c r="E163" s="6">
        <v>149281</v>
      </c>
      <c r="F163" s="6">
        <v>154208</v>
      </c>
      <c r="G163" s="6">
        <v>159128</v>
      </c>
      <c r="H163" s="6">
        <v>167564</v>
      </c>
      <c r="I163" s="1" t="str">
        <f t="shared" si="4"/>
        <v xml:space="preserve"> Arizona</v>
      </c>
      <c r="J163" s="1" t="str">
        <f t="shared" si="5"/>
        <v>Surprise city</v>
      </c>
      <c r="K163" s="1">
        <f>IF(COUNTIF($I$5:I163,I163)=1,1,0)</f>
        <v>0</v>
      </c>
    </row>
    <row r="164" spans="1:11" x14ac:dyDescent="0.2">
      <c r="A164" s="9">
        <v>160</v>
      </c>
      <c r="B164" s="5" t="s">
        <v>159</v>
      </c>
      <c r="C164" s="6">
        <v>173584</v>
      </c>
      <c r="D164" s="6">
        <v>173192</v>
      </c>
      <c r="E164" s="6">
        <v>170036</v>
      </c>
      <c r="F164" s="6">
        <v>167893</v>
      </c>
      <c r="G164" s="6">
        <v>167293</v>
      </c>
      <c r="H164" s="6">
        <v>167426</v>
      </c>
      <c r="I164" s="1" t="str">
        <f t="shared" si="4"/>
        <v xml:space="preserve"> California</v>
      </c>
      <c r="J164" s="1" t="str">
        <f t="shared" si="5"/>
        <v>Lancaster city</v>
      </c>
      <c r="K164" s="1">
        <f>IF(COUNTIF($I$5:I164,I164)=1,1,0)</f>
        <v>0</v>
      </c>
    </row>
    <row r="165" spans="1:11" x14ac:dyDescent="0.2">
      <c r="A165" s="9">
        <v>161</v>
      </c>
      <c r="B165" s="5" t="s">
        <v>160</v>
      </c>
      <c r="C165" s="6">
        <v>139874</v>
      </c>
      <c r="D165" s="6">
        <v>141128</v>
      </c>
      <c r="E165" s="6">
        <v>147234</v>
      </c>
      <c r="F165" s="6">
        <v>150850</v>
      </c>
      <c r="G165" s="6">
        <v>159223</v>
      </c>
      <c r="H165" s="6">
        <v>165998</v>
      </c>
      <c r="I165" s="1" t="str">
        <f t="shared" si="4"/>
        <v xml:space="preserve"> Texas</v>
      </c>
      <c r="J165" s="1" t="str">
        <f t="shared" si="5"/>
        <v>Denton city</v>
      </c>
      <c r="K165" s="1">
        <f>IF(COUNTIF($I$5:I165,I165)=1,1,0)</f>
        <v>0</v>
      </c>
    </row>
    <row r="166" spans="1:11" x14ac:dyDescent="0.2">
      <c r="A166" s="9">
        <v>162</v>
      </c>
      <c r="B166" s="5" t="s">
        <v>161</v>
      </c>
      <c r="C166" s="6">
        <v>147793</v>
      </c>
      <c r="D166" s="6">
        <v>148520</v>
      </c>
      <c r="E166" s="6">
        <v>152515</v>
      </c>
      <c r="F166" s="6">
        <v>156070</v>
      </c>
      <c r="G166" s="6">
        <v>159230</v>
      </c>
      <c r="H166" s="6">
        <v>163304</v>
      </c>
      <c r="I166" s="1" t="str">
        <f t="shared" si="4"/>
        <v xml:space="preserve"> California</v>
      </c>
      <c r="J166" s="1" t="str">
        <f t="shared" si="5"/>
        <v>Roseville city</v>
      </c>
      <c r="K166" s="1">
        <f>IF(COUNTIF($I$5:I166,I166)=1,1,0)</f>
        <v>0</v>
      </c>
    </row>
    <row r="167" spans="1:11" x14ac:dyDescent="0.2">
      <c r="A167" s="9">
        <v>163</v>
      </c>
      <c r="B167" s="5" t="s">
        <v>162</v>
      </c>
      <c r="C167" s="6">
        <v>169415</v>
      </c>
      <c r="D167" s="6">
        <v>168907</v>
      </c>
      <c r="E167" s="6">
        <v>165543</v>
      </c>
      <c r="F167" s="6">
        <v>163520</v>
      </c>
      <c r="G167" s="6">
        <v>162605</v>
      </c>
      <c r="H167" s="6">
        <v>162536</v>
      </c>
      <c r="I167" s="1" t="str">
        <f t="shared" si="4"/>
        <v xml:space="preserve"> California</v>
      </c>
      <c r="J167" s="1" t="str">
        <f t="shared" si="5"/>
        <v>Palmdale city</v>
      </c>
      <c r="K167" s="1">
        <f>IF(COUNTIF($I$5:I167,I167)=1,1,0)</f>
        <v>0</v>
      </c>
    </row>
    <row r="168" spans="1:11" x14ac:dyDescent="0.2">
      <c r="A168" s="9">
        <v>164</v>
      </c>
      <c r="B168" s="5" t="s">
        <v>163</v>
      </c>
      <c r="C168" s="6">
        <v>157043</v>
      </c>
      <c r="D168" s="6">
        <v>157349</v>
      </c>
      <c r="E168" s="6">
        <v>159146</v>
      </c>
      <c r="F168" s="6">
        <v>159776</v>
      </c>
      <c r="G168" s="6">
        <v>160491</v>
      </c>
      <c r="H168" s="6">
        <v>161540</v>
      </c>
      <c r="I168" s="1" t="str">
        <f t="shared" si="4"/>
        <v xml:space="preserve"> California</v>
      </c>
      <c r="J168" s="1" t="str">
        <f t="shared" si="5"/>
        <v>Corona city</v>
      </c>
      <c r="K168" s="1">
        <f>IF(COUNTIF($I$5:I168,I168)=1,1,0)</f>
        <v>0</v>
      </c>
    </row>
    <row r="169" spans="1:11" x14ac:dyDescent="0.2">
      <c r="A169" s="9">
        <v>165</v>
      </c>
      <c r="B169" s="5" t="s">
        <v>164</v>
      </c>
      <c r="C169" s="6">
        <v>163537</v>
      </c>
      <c r="D169" s="6">
        <v>163393</v>
      </c>
      <c r="E169" s="6">
        <v>162859</v>
      </c>
      <c r="F169" s="6">
        <v>161270</v>
      </c>
      <c r="G169" s="6">
        <v>160548</v>
      </c>
      <c r="H169" s="6">
        <v>160783</v>
      </c>
      <c r="I169" s="1" t="str">
        <f t="shared" si="4"/>
        <v xml:space="preserve"> California</v>
      </c>
      <c r="J169" s="1" t="str">
        <f t="shared" si="5"/>
        <v>Salinas city</v>
      </c>
      <c r="K169" s="1">
        <f>IF(COUNTIF($I$5:I169,I169)=1,1,0)</f>
        <v>0</v>
      </c>
    </row>
    <row r="170" spans="1:11" x14ac:dyDescent="0.2">
      <c r="A170" s="9">
        <v>166</v>
      </c>
      <c r="B170" s="5" t="s">
        <v>165</v>
      </c>
      <c r="C170" s="6">
        <v>153157</v>
      </c>
      <c r="D170" s="6">
        <v>153758</v>
      </c>
      <c r="E170" s="6">
        <v>157075</v>
      </c>
      <c r="F170" s="6">
        <v>159374</v>
      </c>
      <c r="G170" s="6">
        <v>159953</v>
      </c>
      <c r="H170" s="6">
        <v>160616</v>
      </c>
      <c r="I170" s="1" t="str">
        <f t="shared" si="4"/>
        <v xml:space="preserve"> Texas</v>
      </c>
      <c r="J170" s="1" t="str">
        <f t="shared" si="5"/>
        <v>Killeen city</v>
      </c>
      <c r="K170" s="1">
        <f>IF(COUNTIF($I$5:I170,I170)=1,1,0)</f>
        <v>0</v>
      </c>
    </row>
    <row r="171" spans="1:11" x14ac:dyDescent="0.2">
      <c r="A171" s="9">
        <v>167</v>
      </c>
      <c r="B171" s="5" t="s">
        <v>166</v>
      </c>
      <c r="C171" s="6">
        <v>159759</v>
      </c>
      <c r="D171" s="6">
        <v>159328</v>
      </c>
      <c r="E171" s="6">
        <v>158102</v>
      </c>
      <c r="F171" s="6">
        <v>157278</v>
      </c>
      <c r="G171" s="6">
        <v>158537</v>
      </c>
      <c r="H171" s="6">
        <v>160463</v>
      </c>
      <c r="I171" s="1" t="str">
        <f t="shared" si="4"/>
        <v xml:space="preserve"> New Jersey</v>
      </c>
      <c r="J171" s="1" t="str">
        <f t="shared" si="5"/>
        <v>Paterson city</v>
      </c>
      <c r="K171" s="1">
        <f>IF(COUNTIF($I$5:I171,I171)=1,1,0)</f>
        <v>0</v>
      </c>
    </row>
    <row r="172" spans="1:11" x14ac:dyDescent="0.2">
      <c r="A172" s="9">
        <v>168</v>
      </c>
      <c r="B172" s="5" t="s">
        <v>167</v>
      </c>
      <c r="C172" s="6">
        <v>159463</v>
      </c>
      <c r="D172" s="6">
        <v>159144</v>
      </c>
      <c r="E172" s="6">
        <v>155129</v>
      </c>
      <c r="F172" s="6">
        <v>155235</v>
      </c>
      <c r="G172" s="6">
        <v>156271</v>
      </c>
      <c r="H172" s="6">
        <v>159102</v>
      </c>
      <c r="I172" s="1" t="str">
        <f t="shared" si="4"/>
        <v xml:space="preserve"> Virginia</v>
      </c>
      <c r="J172" s="1" t="str">
        <f t="shared" si="5"/>
        <v>Alexandria city</v>
      </c>
      <c r="K172" s="1">
        <f>IF(COUNTIF($I$5:I172,I172)=1,1,0)</f>
        <v>0</v>
      </c>
    </row>
    <row r="173" spans="1:11" x14ac:dyDescent="0.2">
      <c r="A173" s="9">
        <v>169</v>
      </c>
      <c r="B173" s="5" t="s">
        <v>168</v>
      </c>
      <c r="C173" s="6">
        <v>153048</v>
      </c>
      <c r="D173" s="6">
        <v>152820</v>
      </c>
      <c r="E173" s="6">
        <v>152447</v>
      </c>
      <c r="F173" s="6">
        <v>154149</v>
      </c>
      <c r="G173" s="6">
        <v>157006</v>
      </c>
      <c r="H173" s="6">
        <v>159073</v>
      </c>
      <c r="I173" s="1" t="str">
        <f t="shared" si="4"/>
        <v xml:space="preserve"> Florida</v>
      </c>
      <c r="J173" s="1" t="str">
        <f t="shared" si="5"/>
        <v>Hollywood city</v>
      </c>
      <c r="K173" s="1">
        <f>IF(COUNTIF($I$5:I173,I173)=1,1,0)</f>
        <v>0</v>
      </c>
    </row>
    <row r="174" spans="1:11" x14ac:dyDescent="0.2">
      <c r="A174" s="9">
        <v>170</v>
      </c>
      <c r="B174" s="5" t="s">
        <v>169</v>
      </c>
      <c r="C174" s="6">
        <v>162933</v>
      </c>
      <c r="D174" s="6">
        <v>162726</v>
      </c>
      <c r="E174" s="6">
        <v>158350</v>
      </c>
      <c r="F174" s="6">
        <v>157119</v>
      </c>
      <c r="G174" s="6">
        <v>157375</v>
      </c>
      <c r="H174" s="6">
        <v>158440</v>
      </c>
      <c r="I174" s="1" t="str">
        <f t="shared" si="4"/>
        <v xml:space="preserve"> California</v>
      </c>
      <c r="J174" s="1" t="str">
        <f t="shared" si="5"/>
        <v>Hayward city</v>
      </c>
      <c r="K174" s="1">
        <f>IF(COUNTIF($I$5:I174,I174)=1,1,0)</f>
        <v>0</v>
      </c>
    </row>
    <row r="175" spans="1:11" x14ac:dyDescent="0.2">
      <c r="A175" s="9">
        <v>171</v>
      </c>
      <c r="B175" s="5" t="s">
        <v>170</v>
      </c>
      <c r="C175" s="6">
        <v>150599</v>
      </c>
      <c r="D175" s="6">
        <v>151065</v>
      </c>
      <c r="E175" s="6">
        <v>152116</v>
      </c>
      <c r="F175" s="6">
        <v>154291</v>
      </c>
      <c r="G175" s="6">
        <v>156263</v>
      </c>
      <c r="H175" s="6">
        <v>157665</v>
      </c>
      <c r="I175" s="1" t="str">
        <f t="shared" si="4"/>
        <v xml:space="preserve"> South Carolina</v>
      </c>
      <c r="J175" s="1" t="str">
        <f t="shared" si="5"/>
        <v>Charleston city</v>
      </c>
      <c r="K175" s="1">
        <f>IF(COUNTIF($I$5:I175,I175)=1,1,0)</f>
        <v>1</v>
      </c>
    </row>
    <row r="176" spans="1:11" x14ac:dyDescent="0.2">
      <c r="A176" s="9">
        <v>172</v>
      </c>
      <c r="B176" s="5" t="s">
        <v>171</v>
      </c>
      <c r="C176" s="6">
        <v>157345</v>
      </c>
      <c r="D176" s="6">
        <v>157038</v>
      </c>
      <c r="E176" s="6">
        <v>156005</v>
      </c>
      <c r="F176" s="6">
        <v>156115</v>
      </c>
      <c r="G176" s="6">
        <v>156676</v>
      </c>
      <c r="H176" s="6">
        <v>157056</v>
      </c>
      <c r="I176" s="1" t="str">
        <f t="shared" si="4"/>
        <v xml:space="preserve"> Georgia</v>
      </c>
      <c r="J176" s="1" t="str">
        <f t="shared" si="5"/>
        <v>Macon-Bibb County</v>
      </c>
      <c r="K176" s="1">
        <f>IF(COUNTIF($I$5:I176,I176)=1,1,0)</f>
        <v>0</v>
      </c>
    </row>
    <row r="177" spans="1:11" x14ac:dyDescent="0.2">
      <c r="A177" s="9">
        <v>173</v>
      </c>
      <c r="B177" s="5" t="s">
        <v>172</v>
      </c>
      <c r="C177" s="6">
        <v>155999</v>
      </c>
      <c r="D177" s="6">
        <v>156281</v>
      </c>
      <c r="E177" s="6">
        <v>157119</v>
      </c>
      <c r="F177" s="6">
        <v>156256</v>
      </c>
      <c r="G177" s="6">
        <v>156358</v>
      </c>
      <c r="H177" s="6">
        <v>156868</v>
      </c>
      <c r="I177" s="1" t="str">
        <f t="shared" si="4"/>
        <v xml:space="preserve"> Colorado</v>
      </c>
      <c r="J177" s="1" t="str">
        <f t="shared" si="5"/>
        <v>Lakewood city</v>
      </c>
      <c r="K177" s="1">
        <f>IF(COUNTIF($I$5:I177,I177)=1,1,0)</f>
        <v>0</v>
      </c>
    </row>
    <row r="178" spans="1:11" x14ac:dyDescent="0.2">
      <c r="A178" s="9">
        <v>174</v>
      </c>
      <c r="B178" s="5" t="s">
        <v>173</v>
      </c>
      <c r="C178" s="6">
        <v>155631</v>
      </c>
      <c r="D178" s="6">
        <v>155261</v>
      </c>
      <c r="E178" s="6">
        <v>152444</v>
      </c>
      <c r="F178" s="6">
        <v>152618</v>
      </c>
      <c r="G178" s="6">
        <v>154053</v>
      </c>
      <c r="H178" s="6">
        <v>156792</v>
      </c>
      <c r="I178" s="1" t="str">
        <f t="shared" si="4"/>
        <v xml:space="preserve"> California</v>
      </c>
      <c r="J178" s="1" t="str">
        <f t="shared" si="5"/>
        <v>Sunnyvale city</v>
      </c>
      <c r="K178" s="1">
        <f>IF(COUNTIF($I$5:I178,I178)=1,1,0)</f>
        <v>0</v>
      </c>
    </row>
    <row r="179" spans="1:11" x14ac:dyDescent="0.2">
      <c r="A179" s="9">
        <v>175</v>
      </c>
      <c r="B179" s="5" t="s">
        <v>174</v>
      </c>
      <c r="C179" s="6">
        <v>156605</v>
      </c>
      <c r="D179" s="6">
        <v>156302</v>
      </c>
      <c r="E179" s="6">
        <v>154783</v>
      </c>
      <c r="F179" s="6">
        <v>153327</v>
      </c>
      <c r="G179" s="6">
        <v>154468</v>
      </c>
      <c r="H179" s="6">
        <v>156752</v>
      </c>
      <c r="I179" s="1" t="str">
        <f t="shared" si="4"/>
        <v xml:space="preserve"> Kansas</v>
      </c>
      <c r="J179" s="1" t="str">
        <f t="shared" si="5"/>
        <v>Kansas City city</v>
      </c>
      <c r="K179" s="1">
        <f>IF(COUNTIF($I$5:I179,I179)=1,1,0)</f>
        <v>0</v>
      </c>
    </row>
    <row r="180" spans="1:11" x14ac:dyDescent="0.2">
      <c r="A180" s="9">
        <v>176</v>
      </c>
      <c r="B180" s="5" t="s">
        <v>175</v>
      </c>
      <c r="C180" s="6">
        <v>155927</v>
      </c>
      <c r="D180" s="6">
        <v>155258</v>
      </c>
      <c r="E180" s="6">
        <v>154978</v>
      </c>
      <c r="F180" s="6">
        <v>154440</v>
      </c>
      <c r="G180" s="6">
        <v>154220</v>
      </c>
      <c r="H180" s="6">
        <v>154888</v>
      </c>
      <c r="I180" s="1" t="str">
        <f t="shared" si="4"/>
        <v xml:space="preserve"> Massachusetts</v>
      </c>
      <c r="J180" s="1" t="str">
        <f t="shared" si="5"/>
        <v>Springfield city</v>
      </c>
      <c r="K180" s="1">
        <f>IF(COUNTIF($I$5:I180,I180)=1,1,0)</f>
        <v>0</v>
      </c>
    </row>
    <row r="181" spans="1:11" x14ac:dyDescent="0.2">
      <c r="A181" s="9">
        <v>177</v>
      </c>
      <c r="B181" s="5" t="s">
        <v>176</v>
      </c>
      <c r="C181" s="6">
        <v>151868</v>
      </c>
      <c r="D181" s="6">
        <v>151786</v>
      </c>
      <c r="E181" s="6">
        <v>149406</v>
      </c>
      <c r="F181" s="6">
        <v>151398</v>
      </c>
      <c r="G181" s="6">
        <v>152354</v>
      </c>
      <c r="H181" s="6">
        <v>154377</v>
      </c>
      <c r="I181" s="1" t="str">
        <f t="shared" si="4"/>
        <v xml:space="preserve"> Washington</v>
      </c>
      <c r="J181" s="1" t="str">
        <f t="shared" si="5"/>
        <v>Bellevue city</v>
      </c>
      <c r="K181" s="1">
        <f>IF(COUNTIF($I$5:I181,I181)=1,1,0)</f>
        <v>0</v>
      </c>
    </row>
    <row r="182" spans="1:11" x14ac:dyDescent="0.2">
      <c r="A182" s="9">
        <v>178</v>
      </c>
      <c r="B182" s="5" t="s">
        <v>177</v>
      </c>
      <c r="C182" s="6">
        <v>149566</v>
      </c>
      <c r="D182" s="6">
        <v>149434</v>
      </c>
      <c r="E182" s="6">
        <v>149535</v>
      </c>
      <c r="F182" s="6">
        <v>150355</v>
      </c>
      <c r="G182" s="6">
        <v>151166</v>
      </c>
      <c r="H182" s="6">
        <v>153124</v>
      </c>
      <c r="I182" s="1" t="str">
        <f t="shared" si="4"/>
        <v xml:space="preserve"> Illinois</v>
      </c>
      <c r="J182" s="1" t="str">
        <f t="shared" si="5"/>
        <v>Naperville city</v>
      </c>
      <c r="K182" s="1">
        <f>IF(COUNTIF($I$5:I182,I182)=1,1,0)</f>
        <v>0</v>
      </c>
    </row>
    <row r="183" spans="1:11" x14ac:dyDescent="0.2">
      <c r="A183" s="9">
        <v>179</v>
      </c>
      <c r="B183" s="5" t="s">
        <v>178</v>
      </c>
      <c r="C183" s="6">
        <v>150490</v>
      </c>
      <c r="D183" s="6">
        <v>150352</v>
      </c>
      <c r="E183" s="6">
        <v>150750</v>
      </c>
      <c r="F183" s="6">
        <v>150449</v>
      </c>
      <c r="G183" s="6">
        <v>151081</v>
      </c>
      <c r="H183" s="6">
        <v>151837</v>
      </c>
      <c r="I183" s="1" t="str">
        <f t="shared" si="4"/>
        <v xml:space="preserve"> Illinois</v>
      </c>
      <c r="J183" s="1" t="str">
        <f t="shared" si="5"/>
        <v>Joliet city</v>
      </c>
      <c r="K183" s="1">
        <f>IF(COUNTIF($I$5:I183,I183)=1,1,0)</f>
        <v>0</v>
      </c>
    </row>
    <row r="184" spans="1:11" x14ac:dyDescent="0.2">
      <c r="A184" s="9">
        <v>180</v>
      </c>
      <c r="B184" s="5" t="s">
        <v>179</v>
      </c>
      <c r="C184" s="6">
        <v>148637</v>
      </c>
      <c r="D184" s="6">
        <v>147713</v>
      </c>
      <c r="E184" s="6">
        <v>148175</v>
      </c>
      <c r="F184" s="6">
        <v>148552</v>
      </c>
      <c r="G184" s="6">
        <v>149810</v>
      </c>
      <c r="H184" s="6">
        <v>151599</v>
      </c>
      <c r="I184" s="1" t="str">
        <f t="shared" si="4"/>
        <v xml:space="preserve"> Connecticut</v>
      </c>
      <c r="J184" s="1" t="str">
        <f t="shared" si="5"/>
        <v>Bridgeport city</v>
      </c>
      <c r="K184" s="1">
        <f>IF(COUNTIF($I$5:I184,I184)=1,1,0)</f>
        <v>1</v>
      </c>
    </row>
    <row r="185" spans="1:11" x14ac:dyDescent="0.2">
      <c r="A185" s="9">
        <v>181</v>
      </c>
      <c r="B185" s="5" t="s">
        <v>180</v>
      </c>
      <c r="C185" s="6">
        <v>150232</v>
      </c>
      <c r="D185" s="6">
        <v>149637</v>
      </c>
      <c r="E185" s="6">
        <v>147737</v>
      </c>
      <c r="F185" s="6">
        <v>148271</v>
      </c>
      <c r="G185" s="6">
        <v>149026</v>
      </c>
      <c r="H185" s="6">
        <v>150140</v>
      </c>
      <c r="I185" s="1" t="str">
        <f t="shared" si="4"/>
        <v xml:space="preserve"> Texas</v>
      </c>
      <c r="J185" s="1" t="str">
        <f t="shared" si="5"/>
        <v>Mesquite city</v>
      </c>
      <c r="K185" s="1">
        <f>IF(COUNTIF($I$5:I185,I185)=1,1,0)</f>
        <v>0</v>
      </c>
    </row>
    <row r="186" spans="1:11" x14ac:dyDescent="0.2">
      <c r="A186" s="9">
        <v>182</v>
      </c>
      <c r="B186" s="5" t="s">
        <v>181</v>
      </c>
      <c r="C186" s="6">
        <v>151973</v>
      </c>
      <c r="D186" s="6">
        <v>151449</v>
      </c>
      <c r="E186" s="6">
        <v>148776</v>
      </c>
      <c r="F186" s="6">
        <v>148518</v>
      </c>
      <c r="G186" s="6">
        <v>148792</v>
      </c>
      <c r="H186" s="6">
        <v>149617</v>
      </c>
      <c r="I186" s="1" t="str">
        <f t="shared" si="4"/>
        <v xml:space="preserve"> Texas</v>
      </c>
      <c r="J186" s="1" t="str">
        <f t="shared" si="5"/>
        <v>Pasadena city</v>
      </c>
      <c r="K186" s="1">
        <f>IF(COUNTIF($I$5:I186,I186)=1,1,0)</f>
        <v>0</v>
      </c>
    </row>
    <row r="187" spans="1:11" x14ac:dyDescent="0.2">
      <c r="A187" s="9">
        <v>183</v>
      </c>
      <c r="B187" s="5" t="s">
        <v>182</v>
      </c>
      <c r="C187" s="6">
        <v>141290</v>
      </c>
      <c r="D187" s="6">
        <v>141560</v>
      </c>
      <c r="E187" s="6">
        <v>142958</v>
      </c>
      <c r="F187" s="6">
        <v>144741</v>
      </c>
      <c r="G187" s="6">
        <v>147145</v>
      </c>
      <c r="H187" s="6">
        <v>149035</v>
      </c>
      <c r="I187" s="1" t="str">
        <f t="shared" si="4"/>
        <v xml:space="preserve"> Kansas</v>
      </c>
      <c r="J187" s="1" t="str">
        <f t="shared" si="5"/>
        <v>Olathe city</v>
      </c>
      <c r="K187" s="1">
        <f>IF(COUNTIF($I$5:I187,I187)=1,1,0)</f>
        <v>0</v>
      </c>
    </row>
    <row r="188" spans="1:11" x14ac:dyDescent="0.2">
      <c r="A188" s="9">
        <v>184</v>
      </c>
      <c r="B188" s="5" t="s">
        <v>183</v>
      </c>
      <c r="C188" s="6">
        <v>151100</v>
      </c>
      <c r="D188" s="6">
        <v>151045</v>
      </c>
      <c r="E188" s="6">
        <v>150214</v>
      </c>
      <c r="F188" s="6">
        <v>149411</v>
      </c>
      <c r="G188" s="6">
        <v>148862</v>
      </c>
      <c r="H188" s="6">
        <v>148847</v>
      </c>
      <c r="I188" s="1" t="str">
        <f t="shared" si="4"/>
        <v xml:space="preserve"> California</v>
      </c>
      <c r="J188" s="1" t="str">
        <f t="shared" si="5"/>
        <v>Escondido city</v>
      </c>
      <c r="K188" s="1">
        <f>IF(COUNTIF($I$5:I188,I188)=1,1,0)</f>
        <v>0</v>
      </c>
    </row>
    <row r="189" spans="1:11" x14ac:dyDescent="0.2">
      <c r="A189" s="9">
        <v>185</v>
      </c>
      <c r="B189" s="5" t="s">
        <v>184</v>
      </c>
      <c r="C189" s="6">
        <v>147802</v>
      </c>
      <c r="D189" s="6">
        <v>147494</v>
      </c>
      <c r="E189" s="6">
        <v>146525</v>
      </c>
      <c r="F189" s="6">
        <v>148281</v>
      </c>
      <c r="G189" s="6">
        <v>148333</v>
      </c>
      <c r="H189" s="6">
        <v>148808</v>
      </c>
      <c r="I189" s="1" t="str">
        <f t="shared" si="4"/>
        <v xml:space="preserve"> Georgia</v>
      </c>
      <c r="J189" s="1" t="str">
        <f t="shared" si="5"/>
        <v>Savannah city</v>
      </c>
      <c r="K189" s="1">
        <f>IF(COUNTIF($I$5:I189,I189)=1,1,0)</f>
        <v>0</v>
      </c>
    </row>
    <row r="190" spans="1:11" x14ac:dyDescent="0.2">
      <c r="A190" s="9">
        <v>186</v>
      </c>
      <c r="B190" s="5" t="s">
        <v>185</v>
      </c>
      <c r="C190" s="6">
        <v>142188</v>
      </c>
      <c r="D190" s="6">
        <v>142401</v>
      </c>
      <c r="E190" s="6">
        <v>143762</v>
      </c>
      <c r="F190" s="6">
        <v>144837</v>
      </c>
      <c r="G190" s="6">
        <v>147264</v>
      </c>
      <c r="H190" s="6">
        <v>148782</v>
      </c>
      <c r="I190" s="1" t="str">
        <f t="shared" si="4"/>
        <v xml:space="preserve"> Texas</v>
      </c>
      <c r="J190" s="1" t="str">
        <f t="shared" si="5"/>
        <v>McAllen city</v>
      </c>
      <c r="K190" s="1">
        <f>IF(COUNTIF($I$5:I190,I190)=1,1,0)</f>
        <v>0</v>
      </c>
    </row>
    <row r="191" spans="1:11" x14ac:dyDescent="0.2">
      <c r="A191" s="9">
        <v>187</v>
      </c>
      <c r="B191" s="5" t="s">
        <v>186</v>
      </c>
      <c r="C191" s="6">
        <v>141149</v>
      </c>
      <c r="D191" s="6">
        <v>142276</v>
      </c>
      <c r="E191" s="6">
        <v>144077</v>
      </c>
      <c r="F191" s="6">
        <v>145861</v>
      </c>
      <c r="G191" s="6">
        <v>147524</v>
      </c>
      <c r="H191" s="6">
        <v>148720</v>
      </c>
      <c r="I191" s="1" t="str">
        <f t="shared" si="4"/>
        <v xml:space="preserve"> Florida</v>
      </c>
      <c r="J191" s="1" t="str">
        <f t="shared" si="5"/>
        <v>Gainesville city</v>
      </c>
      <c r="K191" s="1">
        <f>IF(COUNTIF($I$5:I191,I191)=1,1,0)</f>
        <v>0</v>
      </c>
    </row>
    <row r="192" spans="1:11" x14ac:dyDescent="0.2">
      <c r="A192" s="9">
        <v>188</v>
      </c>
      <c r="B192" s="5" t="s">
        <v>187</v>
      </c>
      <c r="C192" s="6">
        <v>151478</v>
      </c>
      <c r="D192" s="6">
        <v>151065</v>
      </c>
      <c r="E192" s="6">
        <v>147035</v>
      </c>
      <c r="F192" s="6">
        <v>146743</v>
      </c>
      <c r="G192" s="6">
        <v>146971</v>
      </c>
      <c r="H192" s="6">
        <v>147966</v>
      </c>
      <c r="I192" s="1" t="str">
        <f t="shared" si="4"/>
        <v xml:space="preserve"> California</v>
      </c>
      <c r="J192" s="1" t="str">
        <f t="shared" si="5"/>
        <v>Pomona city</v>
      </c>
      <c r="K192" s="1">
        <f>IF(COUNTIF($I$5:I192,I192)=1,1,0)</f>
        <v>0</v>
      </c>
    </row>
    <row r="193" spans="1:11" x14ac:dyDescent="0.2">
      <c r="A193" s="9">
        <v>189</v>
      </c>
      <c r="B193" s="5" t="s">
        <v>188</v>
      </c>
      <c r="C193" s="6">
        <v>148946</v>
      </c>
      <c r="D193" s="6">
        <v>148696</v>
      </c>
      <c r="E193" s="6">
        <v>147792</v>
      </c>
      <c r="F193" s="6">
        <v>146937</v>
      </c>
      <c r="G193" s="6">
        <v>146799</v>
      </c>
      <c r="H193" s="6">
        <v>147486</v>
      </c>
      <c r="I193" s="1" t="str">
        <f t="shared" si="4"/>
        <v xml:space="preserve"> Illinois</v>
      </c>
      <c r="J193" s="1" t="str">
        <f t="shared" si="5"/>
        <v>Rockford city</v>
      </c>
      <c r="K193" s="1">
        <f>IF(COUNTIF($I$5:I193,I193)=1,1,0)</f>
        <v>0</v>
      </c>
    </row>
    <row r="194" spans="1:11" x14ac:dyDescent="0.2">
      <c r="A194" s="9">
        <v>190</v>
      </c>
      <c r="B194" s="5" t="s">
        <v>189</v>
      </c>
      <c r="C194" s="6">
        <v>141865</v>
      </c>
      <c r="D194" s="6">
        <v>142191</v>
      </c>
      <c r="E194" s="6">
        <v>142942</v>
      </c>
      <c r="F194" s="6">
        <v>143459</v>
      </c>
      <c r="G194" s="6">
        <v>145533</v>
      </c>
      <c r="H194" s="6">
        <v>146689</v>
      </c>
      <c r="I194" s="1" t="str">
        <f t="shared" si="4"/>
        <v xml:space="preserve"> Colorado</v>
      </c>
      <c r="J194" s="1" t="str">
        <f t="shared" si="5"/>
        <v>Thornton city</v>
      </c>
      <c r="K194" s="1">
        <f>IF(COUNTIF($I$5:I194,I194)=1,1,0)</f>
        <v>0</v>
      </c>
    </row>
    <row r="195" spans="1:11" x14ac:dyDescent="0.2">
      <c r="A195" s="9">
        <v>191</v>
      </c>
      <c r="B195" s="5" t="s">
        <v>190</v>
      </c>
      <c r="C195" s="6">
        <v>140122</v>
      </c>
      <c r="D195" s="6">
        <v>140543</v>
      </c>
      <c r="E195" s="6">
        <v>142357</v>
      </c>
      <c r="F195" s="6">
        <v>143293</v>
      </c>
      <c r="G195" s="6">
        <v>144943</v>
      </c>
      <c r="H195" s="6">
        <v>146608</v>
      </c>
      <c r="I195" s="1" t="str">
        <f t="shared" si="4"/>
        <v xml:space="preserve"> Texas</v>
      </c>
      <c r="J195" s="1" t="str">
        <f t="shared" si="5"/>
        <v>Waco city</v>
      </c>
      <c r="K195" s="1">
        <f>IF(COUNTIF($I$5:I195,I195)=1,1,0)</f>
        <v>0</v>
      </c>
    </row>
    <row r="196" spans="1:11" x14ac:dyDescent="0.2">
      <c r="A196" s="9">
        <v>192</v>
      </c>
      <c r="B196" s="5" t="s">
        <v>191</v>
      </c>
      <c r="C196" s="6">
        <v>141590</v>
      </c>
      <c r="D196" s="6">
        <v>141787</v>
      </c>
      <c r="E196" s="6">
        <v>142716</v>
      </c>
      <c r="F196" s="6">
        <v>143805</v>
      </c>
      <c r="G196" s="6">
        <v>145111</v>
      </c>
      <c r="H196" s="6">
        <v>146271</v>
      </c>
      <c r="I196" s="1" t="str">
        <f t="shared" si="4"/>
        <v xml:space="preserve"> California</v>
      </c>
      <c r="J196" s="1" t="str">
        <f t="shared" si="5"/>
        <v>Visalia city</v>
      </c>
      <c r="K196" s="1">
        <f>IF(COUNTIF($I$5:I196,I196)=1,1,0)</f>
        <v>0</v>
      </c>
    </row>
    <row r="197" spans="1:11" x14ac:dyDescent="0.2">
      <c r="A197" s="9">
        <v>193</v>
      </c>
      <c r="B197" s="5" t="s">
        <v>192</v>
      </c>
      <c r="C197" s="6">
        <v>148611</v>
      </c>
      <c r="D197" s="6">
        <v>146934</v>
      </c>
      <c r="E197" s="6">
        <v>145862</v>
      </c>
      <c r="F197" s="6">
        <v>146778</v>
      </c>
      <c r="G197" s="6">
        <v>146067</v>
      </c>
      <c r="H197" s="6">
        <v>146097</v>
      </c>
      <c r="I197" s="1" t="str">
        <f t="shared" si="4"/>
        <v xml:space="preserve"> New York</v>
      </c>
      <c r="J197" s="1" t="str">
        <f t="shared" si="5"/>
        <v>Syracuse city</v>
      </c>
      <c r="K197" s="1">
        <f>IF(COUNTIF($I$5:I197,I197)=1,1,0)</f>
        <v>0</v>
      </c>
    </row>
    <row r="198" spans="1:11" x14ac:dyDescent="0.2">
      <c r="A198" s="9">
        <v>194</v>
      </c>
      <c r="B198" s="5" t="s">
        <v>193</v>
      </c>
      <c r="C198" s="6">
        <v>136805</v>
      </c>
      <c r="D198" s="6">
        <v>136207</v>
      </c>
      <c r="E198" s="6">
        <v>136400</v>
      </c>
      <c r="F198" s="6">
        <v>139639</v>
      </c>
      <c r="G198" s="6">
        <v>142173</v>
      </c>
      <c r="H198" s="6">
        <v>144788</v>
      </c>
      <c r="I198" s="1" t="str">
        <f t="shared" ref="I198:I261" si="6">_xlfn.TEXTAFTER(B198,",")</f>
        <v xml:space="preserve"> South Carolina</v>
      </c>
      <c r="J198" s="1" t="str">
        <f t="shared" ref="J198:J261" si="7">_xlfn.TEXTBEFORE(B198,", ")</f>
        <v>Columbia city</v>
      </c>
      <c r="K198" s="1">
        <f>IF(COUNTIF($I$5:I198,I198)=1,1,0)</f>
        <v>0</v>
      </c>
    </row>
    <row r="199" spans="1:11" x14ac:dyDescent="0.2">
      <c r="A199" s="9">
        <v>195</v>
      </c>
      <c r="B199" s="5" t="s">
        <v>194</v>
      </c>
      <c r="C199" s="6">
        <v>132874</v>
      </c>
      <c r="D199" s="6">
        <v>133245</v>
      </c>
      <c r="E199" s="6">
        <v>131918</v>
      </c>
      <c r="F199" s="6">
        <v>135099</v>
      </c>
      <c r="G199" s="6">
        <v>139488</v>
      </c>
      <c r="H199" s="6">
        <v>143687</v>
      </c>
      <c r="I199" s="1" t="str">
        <f t="shared" si="6"/>
        <v xml:space="preserve"> Texas</v>
      </c>
      <c r="J199" s="1" t="str">
        <f t="shared" si="7"/>
        <v>Midland city</v>
      </c>
      <c r="K199" s="1">
        <f>IF(COUNTIF($I$5:I199,I199)=1,1,0)</f>
        <v>0</v>
      </c>
    </row>
    <row r="200" spans="1:11" x14ac:dyDescent="0.2">
      <c r="A200" s="9">
        <v>196</v>
      </c>
      <c r="B200" s="5" t="s">
        <v>195</v>
      </c>
      <c r="C200" s="6">
        <v>134713</v>
      </c>
      <c r="D200" s="6">
        <v>134525</v>
      </c>
      <c r="E200" s="6">
        <v>135386</v>
      </c>
      <c r="F200" s="6">
        <v>138555</v>
      </c>
      <c r="G200" s="6">
        <v>141159</v>
      </c>
      <c r="H200" s="6">
        <v>143242</v>
      </c>
      <c r="I200" s="1" t="str">
        <f t="shared" si="6"/>
        <v xml:space="preserve"> Florida</v>
      </c>
      <c r="J200" s="1" t="str">
        <f t="shared" si="7"/>
        <v>Miramar city</v>
      </c>
      <c r="K200" s="1">
        <f>IF(COUNTIF($I$5:I200,I200)=1,1,0)</f>
        <v>0</v>
      </c>
    </row>
    <row r="201" spans="1:11" x14ac:dyDescent="0.2">
      <c r="A201" s="9">
        <v>197</v>
      </c>
      <c r="B201" s="5" t="s">
        <v>196</v>
      </c>
      <c r="C201" s="6">
        <v>119751</v>
      </c>
      <c r="D201" s="6">
        <v>120168</v>
      </c>
      <c r="E201" s="6">
        <v>122994</v>
      </c>
      <c r="F201" s="6">
        <v>129405</v>
      </c>
      <c r="G201" s="6">
        <v>136084</v>
      </c>
      <c r="H201" s="6">
        <v>142023</v>
      </c>
      <c r="I201" s="1" t="str">
        <f t="shared" si="6"/>
        <v xml:space="preserve"> Florida</v>
      </c>
      <c r="J201" s="1" t="str">
        <f t="shared" si="7"/>
        <v>Palm Bay city</v>
      </c>
      <c r="K201" s="1">
        <f>IF(COUNTIF($I$5:I201,I201)=1,1,0)</f>
        <v>0</v>
      </c>
    </row>
    <row r="202" spans="1:11" x14ac:dyDescent="0.2">
      <c r="A202" s="9">
        <v>198</v>
      </c>
      <c r="B202" s="5" t="s">
        <v>197</v>
      </c>
      <c r="C202" s="6">
        <v>153703</v>
      </c>
      <c r="D202" s="6">
        <v>153004</v>
      </c>
      <c r="E202" s="6">
        <v>149414</v>
      </c>
      <c r="F202" s="6">
        <v>145782</v>
      </c>
      <c r="G202" s="6">
        <v>143485</v>
      </c>
      <c r="H202" s="6">
        <v>141449</v>
      </c>
      <c r="I202" s="1" t="str">
        <f t="shared" si="6"/>
        <v xml:space="preserve"> Mississippi</v>
      </c>
      <c r="J202" s="1" t="str">
        <f t="shared" si="7"/>
        <v>Jackson city</v>
      </c>
      <c r="K202" s="1">
        <f>IF(COUNTIF($I$5:I202,I202)=1,1,0)</f>
        <v>1</v>
      </c>
    </row>
    <row r="203" spans="1:11" x14ac:dyDescent="0.2">
      <c r="A203" s="9">
        <v>199</v>
      </c>
      <c r="B203" s="5" t="s">
        <v>198</v>
      </c>
      <c r="C203" s="6">
        <v>134403</v>
      </c>
      <c r="D203" s="6">
        <v>134182</v>
      </c>
      <c r="E203" s="6">
        <v>133159</v>
      </c>
      <c r="F203" s="6">
        <v>134697</v>
      </c>
      <c r="G203" s="6">
        <v>137685</v>
      </c>
      <c r="H203" s="6">
        <v>140808</v>
      </c>
      <c r="I203" s="1" t="str">
        <f t="shared" si="6"/>
        <v xml:space="preserve"> Florida</v>
      </c>
      <c r="J203" s="1" t="str">
        <f t="shared" si="7"/>
        <v>Coral Springs city</v>
      </c>
      <c r="K203" s="1">
        <f>IF(COUNTIF($I$5:I203,I203)=1,1,0)</f>
        <v>0</v>
      </c>
    </row>
    <row r="204" spans="1:11" x14ac:dyDescent="0.2">
      <c r="A204" s="9">
        <v>200</v>
      </c>
      <c r="B204" s="5" t="s">
        <v>199</v>
      </c>
      <c r="C204" s="6">
        <v>134821</v>
      </c>
      <c r="D204" s="6">
        <v>134721</v>
      </c>
      <c r="E204" s="6">
        <v>136123</v>
      </c>
      <c r="F204" s="6">
        <v>137515</v>
      </c>
      <c r="G204" s="6">
        <v>139111</v>
      </c>
      <c r="H204" s="6">
        <v>140721</v>
      </c>
      <c r="I204" s="1" t="str">
        <f t="shared" si="6"/>
        <v xml:space="preserve"> California</v>
      </c>
      <c r="J204" s="1" t="str">
        <f t="shared" si="7"/>
        <v>Victorville city</v>
      </c>
      <c r="K204" s="1">
        <f>IF(COUNTIF($I$5:I204,I204)=1,1,0)</f>
        <v>0</v>
      </c>
    </row>
    <row r="205" spans="1:11" x14ac:dyDescent="0.2">
      <c r="A205" s="9">
        <v>201</v>
      </c>
      <c r="B205" s="5" t="s">
        <v>200</v>
      </c>
      <c r="C205" s="6">
        <v>137310</v>
      </c>
      <c r="D205" s="6">
        <v>136681</v>
      </c>
      <c r="E205" s="6">
        <v>135541</v>
      </c>
      <c r="F205" s="6">
        <v>135796</v>
      </c>
      <c r="G205" s="6">
        <v>138045</v>
      </c>
      <c r="H205" s="6">
        <v>140413</v>
      </c>
      <c r="I205" s="1" t="str">
        <f t="shared" si="6"/>
        <v xml:space="preserve"> New Jersey</v>
      </c>
      <c r="J205" s="1" t="str">
        <f t="shared" si="7"/>
        <v>Elizabeth city</v>
      </c>
      <c r="K205" s="1">
        <f>IF(COUNTIF($I$5:I205,I205)=1,1,0)</f>
        <v>0</v>
      </c>
    </row>
    <row r="206" spans="1:11" x14ac:dyDescent="0.2">
      <c r="A206" s="9">
        <v>202</v>
      </c>
      <c r="B206" s="5" t="s">
        <v>201</v>
      </c>
      <c r="C206" s="6">
        <v>143645</v>
      </c>
      <c r="D206" s="6">
        <v>143398</v>
      </c>
      <c r="E206" s="6">
        <v>140260</v>
      </c>
      <c r="F206" s="6">
        <v>140890</v>
      </c>
      <c r="G206" s="6">
        <v>140142</v>
      </c>
      <c r="H206" s="6">
        <v>140054</v>
      </c>
      <c r="I206" s="1" t="str">
        <f t="shared" si="6"/>
        <v xml:space="preserve"> California</v>
      </c>
      <c r="J206" s="1" t="str">
        <f t="shared" si="7"/>
        <v>Fullerton city</v>
      </c>
      <c r="K206" s="1">
        <f>IF(COUNTIF($I$5:I206,I206)=1,1,0)</f>
        <v>0</v>
      </c>
    </row>
    <row r="207" spans="1:11" x14ac:dyDescent="0.2">
      <c r="A207" s="9">
        <v>203</v>
      </c>
      <c r="B207" s="5" t="s">
        <v>202</v>
      </c>
      <c r="C207" s="6">
        <v>117794</v>
      </c>
      <c r="D207" s="6">
        <v>119496</v>
      </c>
      <c r="E207" s="6">
        <v>125865</v>
      </c>
      <c r="F207" s="6">
        <v>130176</v>
      </c>
      <c r="G207" s="6">
        <v>135322</v>
      </c>
      <c r="H207" s="6">
        <v>139740</v>
      </c>
      <c r="I207" s="1" t="str">
        <f t="shared" si="6"/>
        <v xml:space="preserve"> Idaho</v>
      </c>
      <c r="J207" s="1" t="str">
        <f t="shared" si="7"/>
        <v>Meridian city</v>
      </c>
      <c r="K207" s="1">
        <f>IF(COUNTIF($I$5:I207,I207)=1,1,0)</f>
        <v>0</v>
      </c>
    </row>
    <row r="208" spans="1:11" x14ac:dyDescent="0.2">
      <c r="A208" s="9">
        <v>204</v>
      </c>
      <c r="B208" s="5" t="s">
        <v>203</v>
      </c>
      <c r="C208" s="6">
        <v>146946</v>
      </c>
      <c r="D208" s="6">
        <v>146440</v>
      </c>
      <c r="E208" s="6">
        <v>143248</v>
      </c>
      <c r="F208" s="6">
        <v>141275</v>
      </c>
      <c r="G208" s="6">
        <v>140111</v>
      </c>
      <c r="H208" s="6">
        <v>139576</v>
      </c>
      <c r="I208" s="1" t="str">
        <f t="shared" si="6"/>
        <v xml:space="preserve"> California</v>
      </c>
      <c r="J208" s="1" t="str">
        <f t="shared" si="7"/>
        <v>Torrance city</v>
      </c>
      <c r="K208" s="1">
        <f>IF(COUNTIF($I$5:I208,I208)=1,1,0)</f>
        <v>0</v>
      </c>
    </row>
    <row r="209" spans="1:11" x14ac:dyDescent="0.2">
      <c r="A209" s="9">
        <v>205</v>
      </c>
      <c r="B209" s="5" t="s">
        <v>204</v>
      </c>
      <c r="C209" s="6">
        <v>135453</v>
      </c>
      <c r="D209" s="6">
        <v>135474</v>
      </c>
      <c r="E209" s="6">
        <v>136837</v>
      </c>
      <c r="F209" s="6">
        <v>136721</v>
      </c>
      <c r="G209" s="6">
        <v>137578</v>
      </c>
      <c r="H209" s="6">
        <v>139134</v>
      </c>
      <c r="I209" s="1" t="str">
        <f t="shared" si="6"/>
        <v xml:space="preserve"> Connecticut</v>
      </c>
      <c r="J209" s="1" t="str">
        <f t="shared" si="7"/>
        <v>Stamford city</v>
      </c>
      <c r="K209" s="1">
        <f>IF(COUNTIF($I$5:I209,I209)=1,1,0)</f>
        <v>0</v>
      </c>
    </row>
    <row r="210" spans="1:11" x14ac:dyDescent="0.2">
      <c r="A210" s="9">
        <v>206</v>
      </c>
      <c r="B210" s="5" t="s">
        <v>205</v>
      </c>
      <c r="C210" s="6">
        <v>140238</v>
      </c>
      <c r="D210" s="6">
        <v>139995</v>
      </c>
      <c r="E210" s="6">
        <v>139128</v>
      </c>
      <c r="F210" s="6">
        <v>137378</v>
      </c>
      <c r="G210" s="6">
        <v>137592</v>
      </c>
      <c r="H210" s="6">
        <v>138144</v>
      </c>
      <c r="I210" s="1" t="str">
        <f t="shared" si="6"/>
        <v xml:space="preserve"> Utah</v>
      </c>
      <c r="J210" s="1" t="str">
        <f t="shared" si="7"/>
        <v>West Valley City city</v>
      </c>
      <c r="K210" s="1">
        <f>IF(COUNTIF($I$5:I210,I210)=1,1,0)</f>
        <v>0</v>
      </c>
    </row>
    <row r="211" spans="1:11" x14ac:dyDescent="0.2">
      <c r="A211" s="9">
        <v>207</v>
      </c>
      <c r="B211" s="5" t="s">
        <v>206</v>
      </c>
      <c r="C211" s="6">
        <v>139930</v>
      </c>
      <c r="D211" s="6">
        <v>139481</v>
      </c>
      <c r="E211" s="6">
        <v>137834</v>
      </c>
      <c r="F211" s="6">
        <v>137886</v>
      </c>
      <c r="G211" s="6">
        <v>138246</v>
      </c>
      <c r="H211" s="6">
        <v>137941</v>
      </c>
      <c r="I211" s="1" t="str">
        <f t="shared" si="6"/>
        <v xml:space="preserve"> California</v>
      </c>
      <c r="J211" s="1" t="str">
        <f t="shared" si="7"/>
        <v>Orange city</v>
      </c>
      <c r="K211" s="1">
        <f>IF(COUNTIF($I$5:I211,I211)=1,1,0)</f>
        <v>0</v>
      </c>
    </row>
    <row r="212" spans="1:11" x14ac:dyDescent="0.2">
      <c r="A212" s="9">
        <v>208</v>
      </c>
      <c r="B212" s="5" t="s">
        <v>207</v>
      </c>
      <c r="C212" s="6">
        <v>137732</v>
      </c>
      <c r="D212" s="6">
        <v>137857</v>
      </c>
      <c r="E212" s="6">
        <v>137112</v>
      </c>
      <c r="F212" s="6">
        <v>136861</v>
      </c>
      <c r="G212" s="6">
        <v>136637</v>
      </c>
      <c r="H212" s="6">
        <v>137904</v>
      </c>
      <c r="I212" s="1" t="str">
        <f t="shared" si="6"/>
        <v xml:space="preserve"> Iowa</v>
      </c>
      <c r="J212" s="1" t="str">
        <f t="shared" si="7"/>
        <v>Cedar Rapids city</v>
      </c>
      <c r="K212" s="1">
        <f>IF(COUNTIF($I$5:I212,I212)=1,1,0)</f>
        <v>0</v>
      </c>
    </row>
    <row r="213" spans="1:11" x14ac:dyDescent="0.2">
      <c r="A213" s="9">
        <v>209</v>
      </c>
      <c r="B213" s="5" t="s">
        <v>208</v>
      </c>
      <c r="C213" s="6">
        <v>139395</v>
      </c>
      <c r="D213" s="6">
        <v>139208</v>
      </c>
      <c r="E213" s="6">
        <v>138340</v>
      </c>
      <c r="F213" s="6">
        <v>137274</v>
      </c>
      <c r="G213" s="6">
        <v>137152</v>
      </c>
      <c r="H213" s="6">
        <v>137686</v>
      </c>
      <c r="I213" s="1" t="str">
        <f t="shared" si="6"/>
        <v xml:space="preserve"> Michigan</v>
      </c>
      <c r="J213" s="1" t="str">
        <f t="shared" si="7"/>
        <v>Warren city</v>
      </c>
      <c r="K213" s="1">
        <f>IF(COUNTIF($I$5:I213,I213)=1,1,0)</f>
        <v>0</v>
      </c>
    </row>
    <row r="214" spans="1:11" x14ac:dyDescent="0.2">
      <c r="A214" s="9">
        <v>210</v>
      </c>
      <c r="B214" s="5" t="s">
        <v>209</v>
      </c>
      <c r="C214" s="6">
        <v>137154</v>
      </c>
      <c r="D214" s="6">
        <v>137282</v>
      </c>
      <c r="E214" s="6">
        <v>137780</v>
      </c>
      <c r="F214" s="6">
        <v>137970</v>
      </c>
      <c r="G214" s="6">
        <v>137157</v>
      </c>
      <c r="H214" s="6">
        <v>137596</v>
      </c>
      <c r="I214" s="1" t="str">
        <f t="shared" si="6"/>
        <v xml:space="preserve"> Virginia</v>
      </c>
      <c r="J214" s="1" t="str">
        <f t="shared" si="7"/>
        <v>Hampton city</v>
      </c>
      <c r="K214" s="1">
        <f>IF(COUNTIF($I$5:I214,I214)=1,1,0)</f>
        <v>0</v>
      </c>
    </row>
    <row r="215" spans="1:11" x14ac:dyDescent="0.2">
      <c r="A215" s="9">
        <v>211</v>
      </c>
      <c r="B215" s="5" t="s">
        <v>210</v>
      </c>
      <c r="C215" s="6">
        <v>133986</v>
      </c>
      <c r="D215" s="6">
        <v>129314</v>
      </c>
      <c r="E215" s="6">
        <v>134088</v>
      </c>
      <c r="F215" s="6">
        <v>134684</v>
      </c>
      <c r="G215" s="6">
        <v>136144</v>
      </c>
      <c r="H215" s="6">
        <v>137562</v>
      </c>
      <c r="I215" s="1" t="str">
        <f t="shared" si="6"/>
        <v xml:space="preserve"> Connecticut</v>
      </c>
      <c r="J215" s="1" t="str">
        <f t="shared" si="7"/>
        <v>New Haven city</v>
      </c>
      <c r="K215" s="1">
        <f>IF(COUNTIF($I$5:I215,I215)=1,1,0)</f>
        <v>0</v>
      </c>
    </row>
    <row r="216" spans="1:11" x14ac:dyDescent="0.2">
      <c r="A216" s="9">
        <v>212</v>
      </c>
      <c r="B216" s="5" t="s">
        <v>211</v>
      </c>
      <c r="C216" s="6">
        <v>139622</v>
      </c>
      <c r="D216" s="6">
        <v>139373</v>
      </c>
      <c r="E216" s="6">
        <v>137039</v>
      </c>
      <c r="F216" s="6">
        <v>135654</v>
      </c>
      <c r="G216" s="6">
        <v>135699</v>
      </c>
      <c r="H216" s="6">
        <v>137195</v>
      </c>
      <c r="I216" s="1" t="str">
        <f t="shared" si="6"/>
        <v xml:space="preserve"> California</v>
      </c>
      <c r="J216" s="1" t="str">
        <f t="shared" si="7"/>
        <v>Pasadena city</v>
      </c>
      <c r="K216" s="1">
        <f>IF(COUNTIF($I$5:I216,I216)=1,1,0)</f>
        <v>0</v>
      </c>
    </row>
    <row r="217" spans="1:11" x14ac:dyDescent="0.2">
      <c r="A217" s="9">
        <v>213</v>
      </c>
      <c r="B217" s="5" t="s">
        <v>212</v>
      </c>
      <c r="C217" s="6">
        <v>136608</v>
      </c>
      <c r="D217" s="6">
        <v>136593</v>
      </c>
      <c r="E217" s="6">
        <v>135151</v>
      </c>
      <c r="F217" s="6">
        <v>134806</v>
      </c>
      <c r="G217" s="6">
        <v>135048</v>
      </c>
      <c r="H217" s="6">
        <v>136588</v>
      </c>
      <c r="I217" s="1" t="str">
        <f t="shared" si="6"/>
        <v xml:space="preserve"> Washington</v>
      </c>
      <c r="J217" s="1" t="str">
        <f t="shared" si="7"/>
        <v>Kent city</v>
      </c>
      <c r="K217" s="1">
        <f>IF(COUNTIF($I$5:I217,I217)=1,1,0)</f>
        <v>0</v>
      </c>
    </row>
    <row r="218" spans="1:11" x14ac:dyDescent="0.2">
      <c r="A218" s="9">
        <v>214</v>
      </c>
      <c r="B218" s="5" t="s">
        <v>213</v>
      </c>
      <c r="C218" s="6">
        <v>137677</v>
      </c>
      <c r="D218" s="6">
        <v>137553</v>
      </c>
      <c r="E218" s="6">
        <v>136909</v>
      </c>
      <c r="F218" s="6">
        <v>136100</v>
      </c>
      <c r="G218" s="6">
        <v>135936</v>
      </c>
      <c r="H218" s="6">
        <v>136346</v>
      </c>
      <c r="I218" s="1" t="str">
        <f t="shared" si="6"/>
        <v xml:space="preserve"> Ohio</v>
      </c>
      <c r="J218" s="1" t="str">
        <f t="shared" si="7"/>
        <v>Dayton city</v>
      </c>
      <c r="K218" s="1">
        <f>IF(COUNTIF($I$5:I218,I218)=1,1,0)</f>
        <v>0</v>
      </c>
    </row>
    <row r="219" spans="1:11" x14ac:dyDescent="0.2">
      <c r="A219" s="9">
        <v>215</v>
      </c>
      <c r="B219" s="5" t="s">
        <v>214</v>
      </c>
      <c r="C219" s="6">
        <v>125949</v>
      </c>
      <c r="D219" s="6">
        <v>125986</v>
      </c>
      <c r="E219" s="6">
        <v>129486</v>
      </c>
      <c r="F219" s="6">
        <v>132030</v>
      </c>
      <c r="G219" s="6">
        <v>134360</v>
      </c>
      <c r="H219" s="6">
        <v>136285</v>
      </c>
      <c r="I219" s="1" t="str">
        <f t="shared" si="6"/>
        <v xml:space="preserve"> North Dakota</v>
      </c>
      <c r="J219" s="1" t="str">
        <f t="shared" si="7"/>
        <v>Fargo city</v>
      </c>
      <c r="K219" s="1">
        <f>IF(COUNTIF($I$5:I219,I219)=1,1,0)</f>
        <v>1</v>
      </c>
    </row>
    <row r="220" spans="1:11" x14ac:dyDescent="0.2">
      <c r="A220" s="9">
        <v>216</v>
      </c>
      <c r="B220" s="5" t="s">
        <v>215</v>
      </c>
      <c r="C220" s="6">
        <v>125674</v>
      </c>
      <c r="D220" s="6">
        <v>126431</v>
      </c>
      <c r="E220" s="6">
        <v>127253</v>
      </c>
      <c r="F220" s="6">
        <v>131639</v>
      </c>
      <c r="G220" s="6">
        <v>134408</v>
      </c>
      <c r="H220" s="6">
        <v>135983</v>
      </c>
      <c r="I220" s="1" t="str">
        <f t="shared" si="6"/>
        <v xml:space="preserve"> Texas</v>
      </c>
      <c r="J220" s="1" t="str">
        <f t="shared" si="7"/>
        <v>Lewisville city</v>
      </c>
      <c r="K220" s="1">
        <f>IF(COUNTIF($I$5:I220,I220)=1,1,0)</f>
        <v>0</v>
      </c>
    </row>
    <row r="221" spans="1:11" x14ac:dyDescent="0.2">
      <c r="A221" s="9">
        <v>217</v>
      </c>
      <c r="B221" s="5" t="s">
        <v>216</v>
      </c>
      <c r="C221" s="6">
        <v>133440</v>
      </c>
      <c r="D221" s="6">
        <v>133562</v>
      </c>
      <c r="E221" s="6">
        <v>133579</v>
      </c>
      <c r="F221" s="6">
        <v>134244</v>
      </c>
      <c r="G221" s="6">
        <v>134043</v>
      </c>
      <c r="H221" s="6">
        <v>135456</v>
      </c>
      <c r="I221" s="1" t="str">
        <f t="shared" si="6"/>
        <v xml:space="preserve"> Texas</v>
      </c>
      <c r="J221" s="1" t="str">
        <f t="shared" si="7"/>
        <v>Carrollton city</v>
      </c>
      <c r="K221" s="1">
        <f>IF(COUNTIF($I$5:I221,I221)=1,1,0)</f>
        <v>0</v>
      </c>
    </row>
    <row r="222" spans="1:11" x14ac:dyDescent="0.2">
      <c r="A222" s="9">
        <v>218</v>
      </c>
      <c r="B222" s="5" t="s">
        <v>217</v>
      </c>
      <c r="C222" s="6">
        <v>119529</v>
      </c>
      <c r="D222" s="6">
        <v>120572</v>
      </c>
      <c r="E222" s="6">
        <v>124146</v>
      </c>
      <c r="F222" s="6">
        <v>127269</v>
      </c>
      <c r="G222" s="6">
        <v>131316</v>
      </c>
      <c r="H222" s="6">
        <v>135359</v>
      </c>
      <c r="I222" s="1" t="str">
        <f t="shared" si="6"/>
        <v xml:space="preserve"> Texas</v>
      </c>
      <c r="J222" s="1" t="str">
        <f t="shared" si="7"/>
        <v>Round Rock city</v>
      </c>
      <c r="K222" s="1">
        <f>IF(COUNTIF($I$5:I222,I222)=1,1,0)</f>
        <v>0</v>
      </c>
    </row>
    <row r="223" spans="1:11" x14ac:dyDescent="0.2">
      <c r="A223" s="9">
        <v>219</v>
      </c>
      <c r="B223" s="5" t="s">
        <v>218</v>
      </c>
      <c r="C223" s="6">
        <v>134340</v>
      </c>
      <c r="D223" s="6">
        <v>134114</v>
      </c>
      <c r="E223" s="6">
        <v>133204</v>
      </c>
      <c r="F223" s="6">
        <v>132521</v>
      </c>
      <c r="G223" s="6">
        <v>133696</v>
      </c>
      <c r="H223" s="6">
        <v>134342</v>
      </c>
      <c r="I223" s="1" t="str">
        <f t="shared" si="6"/>
        <v xml:space="preserve"> Michigan</v>
      </c>
      <c r="J223" s="1" t="str">
        <f t="shared" si="7"/>
        <v>Sterling Heights city</v>
      </c>
      <c r="K223" s="1">
        <f>IF(COUNTIF($I$5:I223,I223)=1,1,0)</f>
        <v>0</v>
      </c>
    </row>
    <row r="224" spans="1:11" x14ac:dyDescent="0.2">
      <c r="A224" s="9">
        <v>220</v>
      </c>
      <c r="B224" s="5" t="s">
        <v>219</v>
      </c>
      <c r="C224" s="6">
        <v>127863</v>
      </c>
      <c r="D224" s="6">
        <v>128606</v>
      </c>
      <c r="E224" s="6">
        <v>128498</v>
      </c>
      <c r="F224" s="6">
        <v>129632</v>
      </c>
      <c r="G224" s="6">
        <v>131488</v>
      </c>
      <c r="H224" s="6">
        <v>133132</v>
      </c>
      <c r="I224" s="1" t="str">
        <f t="shared" si="6"/>
        <v xml:space="preserve"> California</v>
      </c>
      <c r="J224" s="1" t="str">
        <f t="shared" si="7"/>
        <v>Santa Clara city</v>
      </c>
      <c r="K224" s="1">
        <f>IF(COUNTIF($I$5:I224,I224)=1,1,0)</f>
        <v>0</v>
      </c>
    </row>
    <row r="225" spans="1:11" x14ac:dyDescent="0.2">
      <c r="A225" s="9">
        <v>221</v>
      </c>
      <c r="B225" s="5" t="s">
        <v>220</v>
      </c>
      <c r="C225" s="6">
        <v>127997</v>
      </c>
      <c r="D225" s="6">
        <v>128179</v>
      </c>
      <c r="E225" s="6">
        <v>129099</v>
      </c>
      <c r="F225" s="6">
        <v>129779</v>
      </c>
      <c r="G225" s="6">
        <v>130349</v>
      </c>
      <c r="H225" s="6">
        <v>131010</v>
      </c>
      <c r="I225" s="1" t="str">
        <f t="shared" si="6"/>
        <v xml:space="preserve"> Oklahoma</v>
      </c>
      <c r="J225" s="1" t="str">
        <f t="shared" si="7"/>
        <v>Norman city</v>
      </c>
      <c r="K225" s="1">
        <f>IF(COUNTIF($I$5:I225,I225)=1,1,0)</f>
        <v>0</v>
      </c>
    </row>
    <row r="226" spans="1:11" x14ac:dyDescent="0.2">
      <c r="A226" s="9">
        <v>222</v>
      </c>
      <c r="B226" s="5" t="s">
        <v>221</v>
      </c>
      <c r="C226" s="6">
        <v>126055</v>
      </c>
      <c r="D226" s="6">
        <v>126314</v>
      </c>
      <c r="E226" s="6">
        <v>127409</v>
      </c>
      <c r="F226" s="6">
        <v>128409</v>
      </c>
      <c r="G226" s="6">
        <v>129780</v>
      </c>
      <c r="H226" s="6">
        <v>130900</v>
      </c>
      <c r="I226" s="1" t="str">
        <f t="shared" si="6"/>
        <v xml:space="preserve"> Missouri</v>
      </c>
      <c r="J226" s="1" t="str">
        <f t="shared" si="7"/>
        <v>Columbia city</v>
      </c>
      <c r="K226" s="1">
        <f>IF(COUNTIF($I$5:I226,I226)=1,1,0)</f>
        <v>0</v>
      </c>
    </row>
    <row r="227" spans="1:11" x14ac:dyDescent="0.2">
      <c r="A227" s="9">
        <v>223</v>
      </c>
      <c r="B227" s="5" t="s">
        <v>222</v>
      </c>
      <c r="C227" s="6">
        <v>125004</v>
      </c>
      <c r="D227" s="6">
        <v>125230</v>
      </c>
      <c r="E227" s="6">
        <v>125879</v>
      </c>
      <c r="F227" s="6">
        <v>127476</v>
      </c>
      <c r="G227" s="6">
        <v>129443</v>
      </c>
      <c r="H227" s="6">
        <v>130501</v>
      </c>
      <c r="I227" s="1" t="str">
        <f t="shared" si="6"/>
        <v xml:space="preserve"> Texas</v>
      </c>
      <c r="J227" s="1" t="str">
        <f t="shared" si="7"/>
        <v>Abilene city</v>
      </c>
      <c r="K227" s="1">
        <f>IF(COUNTIF($I$5:I227,I227)=1,1,0)</f>
        <v>0</v>
      </c>
    </row>
    <row r="228" spans="1:11" x14ac:dyDescent="0.2">
      <c r="A228" s="9">
        <v>224</v>
      </c>
      <c r="B228" s="5" t="s">
        <v>223</v>
      </c>
      <c r="C228" s="6">
        <v>125824</v>
      </c>
      <c r="D228" s="6">
        <v>126011</v>
      </c>
      <c r="E228" s="6">
        <v>126071</v>
      </c>
      <c r="F228" s="6">
        <v>127402</v>
      </c>
      <c r="G228" s="6">
        <v>128536</v>
      </c>
      <c r="H228" s="6">
        <v>129620</v>
      </c>
      <c r="I228" s="1" t="str">
        <f t="shared" si="6"/>
        <v xml:space="preserve"> Texas</v>
      </c>
      <c r="J228" s="1" t="str">
        <f t="shared" si="7"/>
        <v>Pearland city</v>
      </c>
      <c r="K228" s="1">
        <f>IF(COUNTIF($I$5:I228,I228)=1,1,0)</f>
        <v>0</v>
      </c>
    </row>
    <row r="229" spans="1:11" x14ac:dyDescent="0.2">
      <c r="A229" s="9">
        <v>225</v>
      </c>
      <c r="B229" s="5" t="s">
        <v>224</v>
      </c>
      <c r="C229" s="6">
        <v>127353</v>
      </c>
      <c r="D229" s="6">
        <v>127239</v>
      </c>
      <c r="E229" s="6">
        <v>127898</v>
      </c>
      <c r="F229" s="6">
        <v>128638</v>
      </c>
      <c r="G229" s="6">
        <v>129026</v>
      </c>
      <c r="H229" s="6">
        <v>128691</v>
      </c>
      <c r="I229" s="1" t="str">
        <f t="shared" si="6"/>
        <v xml:space="preserve"> Georgia</v>
      </c>
      <c r="J229" s="1" t="str">
        <f t="shared" si="7"/>
        <v>Athens-Clarke County unified government (balance)</v>
      </c>
      <c r="K229" s="1">
        <f>IF(COUNTIF($I$5:I229,I229)=1,1,0)</f>
        <v>0</v>
      </c>
    </row>
    <row r="230" spans="1:11" x14ac:dyDescent="0.2">
      <c r="A230" s="9">
        <v>226</v>
      </c>
      <c r="B230" s="5" t="s">
        <v>225</v>
      </c>
      <c r="C230" s="6">
        <v>120523</v>
      </c>
      <c r="D230" s="6">
        <v>120779</v>
      </c>
      <c r="E230" s="6">
        <v>122696</v>
      </c>
      <c r="F230" s="6">
        <v>124587</v>
      </c>
      <c r="G230" s="6">
        <v>126838</v>
      </c>
      <c r="H230" s="6">
        <v>128023</v>
      </c>
      <c r="I230" s="1" t="str">
        <f t="shared" si="6"/>
        <v xml:space="preserve"> Texas</v>
      </c>
      <c r="J230" s="1" t="str">
        <f t="shared" si="7"/>
        <v>College Station city</v>
      </c>
      <c r="K230" s="1">
        <f>IF(COUNTIF($I$5:I230,I230)=1,1,0)</f>
        <v>0</v>
      </c>
    </row>
    <row r="231" spans="1:11" x14ac:dyDescent="0.2">
      <c r="A231" s="9">
        <v>227</v>
      </c>
      <c r="B231" s="5" t="s">
        <v>226</v>
      </c>
      <c r="C231" s="6">
        <v>120165</v>
      </c>
      <c r="D231" s="6">
        <v>120785</v>
      </c>
      <c r="E231" s="6">
        <v>123327</v>
      </c>
      <c r="F231" s="6">
        <v>125062</v>
      </c>
      <c r="G231" s="6">
        <v>126314</v>
      </c>
      <c r="H231" s="6">
        <v>127993</v>
      </c>
      <c r="I231" s="1" t="str">
        <f t="shared" si="6"/>
        <v xml:space="preserve"> California</v>
      </c>
      <c r="J231" s="1" t="str">
        <f t="shared" si="7"/>
        <v>Clovis city</v>
      </c>
      <c r="K231" s="1">
        <f>IF(COUNTIF($I$5:I231,I231)=1,1,0)</f>
        <v>0</v>
      </c>
    </row>
    <row r="232" spans="1:11" x14ac:dyDescent="0.2">
      <c r="A232" s="9">
        <v>228</v>
      </c>
      <c r="B232" s="5" t="s">
        <v>227</v>
      </c>
      <c r="C232" s="6">
        <v>117321</v>
      </c>
      <c r="D232" s="6">
        <v>117512</v>
      </c>
      <c r="E232" s="6">
        <v>117924</v>
      </c>
      <c r="F232" s="6">
        <v>122120</v>
      </c>
      <c r="G232" s="6">
        <v>126017</v>
      </c>
      <c r="H232" s="6">
        <v>127744</v>
      </c>
      <c r="I232" s="1" t="str">
        <f t="shared" si="6"/>
        <v xml:space="preserve"> Florida</v>
      </c>
      <c r="J232" s="1" t="str">
        <f t="shared" si="7"/>
        <v>West Palm Beach city</v>
      </c>
      <c r="K232" s="1">
        <f>IF(COUNTIF($I$5:I232,I232)=1,1,0)</f>
        <v>0</v>
      </c>
    </row>
    <row r="233" spans="1:11" x14ac:dyDescent="0.2">
      <c r="A233" s="9">
        <v>229</v>
      </c>
      <c r="B233" s="5" t="s">
        <v>228</v>
      </c>
      <c r="C233" s="6">
        <v>125855</v>
      </c>
      <c r="D233" s="6">
        <v>125731</v>
      </c>
      <c r="E233" s="6">
        <v>125833</v>
      </c>
      <c r="F233" s="6">
        <v>125347</v>
      </c>
      <c r="G233" s="6">
        <v>125919</v>
      </c>
      <c r="H233" s="6">
        <v>127138</v>
      </c>
      <c r="I233" s="1" t="str">
        <f t="shared" si="6"/>
        <v xml:space="preserve"> Pennsylvania</v>
      </c>
      <c r="J233" s="1" t="str">
        <f t="shared" si="7"/>
        <v>Allentown city</v>
      </c>
      <c r="K233" s="1">
        <f>IF(COUNTIF($I$5:I233,I233)=1,1,0)</f>
        <v>0</v>
      </c>
    </row>
    <row r="234" spans="1:11" x14ac:dyDescent="0.2">
      <c r="A234" s="9">
        <v>230</v>
      </c>
      <c r="B234" s="5" t="s">
        <v>229</v>
      </c>
      <c r="C234" s="6">
        <v>114885</v>
      </c>
      <c r="D234" s="6">
        <v>115613</v>
      </c>
      <c r="E234" s="6">
        <v>117633</v>
      </c>
      <c r="F234" s="6">
        <v>118745</v>
      </c>
      <c r="G234" s="6">
        <v>121740</v>
      </c>
      <c r="H234" s="6">
        <v>126005</v>
      </c>
      <c r="I234" s="1" t="str">
        <f t="shared" si="6"/>
        <v xml:space="preserve"> South Carolina</v>
      </c>
      <c r="J234" s="1" t="str">
        <f t="shared" si="7"/>
        <v>North Charleston city</v>
      </c>
      <c r="K234" s="1">
        <f>IF(COUNTIF($I$5:I234,I234)=1,1,0)</f>
        <v>0</v>
      </c>
    </row>
    <row r="235" spans="1:11" x14ac:dyDescent="0.2">
      <c r="A235" s="9">
        <v>231</v>
      </c>
      <c r="B235" s="5" t="s">
        <v>230</v>
      </c>
      <c r="C235" s="6">
        <v>126369</v>
      </c>
      <c r="D235" s="6">
        <v>126347</v>
      </c>
      <c r="E235" s="6">
        <v>125815</v>
      </c>
      <c r="F235" s="6">
        <v>125103</v>
      </c>
      <c r="G235" s="6">
        <v>125271</v>
      </c>
      <c r="H235" s="6">
        <v>125778</v>
      </c>
      <c r="I235" s="1" t="str">
        <f t="shared" si="6"/>
        <v xml:space="preserve"> California</v>
      </c>
      <c r="J235" s="1" t="str">
        <f t="shared" si="7"/>
        <v>Simi Valley city</v>
      </c>
      <c r="K235" s="1">
        <f>IF(COUNTIF($I$5:I235,I235)=1,1,0)</f>
        <v>0</v>
      </c>
    </row>
    <row r="236" spans="1:11" x14ac:dyDescent="0.2">
      <c r="A236" s="9">
        <v>232</v>
      </c>
      <c r="B236" s="5" t="s">
        <v>231</v>
      </c>
      <c r="C236" s="6">
        <v>126600</v>
      </c>
      <c r="D236" s="6">
        <v>126430</v>
      </c>
      <c r="E236" s="6">
        <v>126162</v>
      </c>
      <c r="F236" s="6">
        <v>125426</v>
      </c>
      <c r="G236" s="6">
        <v>125354</v>
      </c>
      <c r="H236" s="6">
        <v>125467</v>
      </c>
      <c r="I236" s="1" t="str">
        <f t="shared" si="6"/>
        <v xml:space="preserve"> Kansas</v>
      </c>
      <c r="J236" s="1" t="str">
        <f t="shared" si="7"/>
        <v>Topeka city</v>
      </c>
      <c r="K236" s="1">
        <f>IF(COUNTIF($I$5:I236,I236)=1,1,0)</f>
        <v>0</v>
      </c>
    </row>
    <row r="237" spans="1:11" x14ac:dyDescent="0.2">
      <c r="A237" s="9">
        <v>233</v>
      </c>
      <c r="B237" s="5" t="s">
        <v>232</v>
      </c>
      <c r="C237" s="6">
        <v>115459</v>
      </c>
      <c r="D237" s="6">
        <v>115887</v>
      </c>
      <c r="E237" s="6">
        <v>117969</v>
      </c>
      <c r="F237" s="6">
        <v>121353</v>
      </c>
      <c r="G237" s="6">
        <v>123599</v>
      </c>
      <c r="H237" s="6">
        <v>125284</v>
      </c>
      <c r="I237" s="1" t="str">
        <f t="shared" si="6"/>
        <v xml:space="preserve"> North Carolina</v>
      </c>
      <c r="J237" s="1" t="str">
        <f t="shared" si="7"/>
        <v>Wilmington city</v>
      </c>
      <c r="K237" s="1">
        <f>IF(COUNTIF($I$5:I237,I237)=1,1,0)</f>
        <v>0</v>
      </c>
    </row>
    <row r="238" spans="1:11" x14ac:dyDescent="0.2">
      <c r="A238" s="9">
        <v>234</v>
      </c>
      <c r="B238" s="5" t="s">
        <v>233</v>
      </c>
      <c r="C238" s="6">
        <v>112614</v>
      </c>
      <c r="D238" s="6">
        <v>113881</v>
      </c>
      <c r="E238" s="6">
        <v>117320</v>
      </c>
      <c r="F238" s="6">
        <v>120604</v>
      </c>
      <c r="G238" s="6">
        <v>123046</v>
      </c>
      <c r="H238" s="6">
        <v>124990</v>
      </c>
      <c r="I238" s="1" t="str">
        <f t="shared" si="6"/>
        <v xml:space="preserve"> Florida</v>
      </c>
      <c r="J238" s="1" t="str">
        <f t="shared" si="7"/>
        <v>Lakeland city</v>
      </c>
      <c r="K238" s="1">
        <f>IF(COUNTIF($I$5:I238,I238)=1,1,0)</f>
        <v>0</v>
      </c>
    </row>
    <row r="239" spans="1:11" x14ac:dyDescent="0.2">
      <c r="A239" s="9">
        <v>235</v>
      </c>
      <c r="B239" s="5" t="s">
        <v>234</v>
      </c>
      <c r="C239" s="6">
        <v>126954</v>
      </c>
      <c r="D239" s="6">
        <v>126814</v>
      </c>
      <c r="E239" s="6">
        <v>126075</v>
      </c>
      <c r="F239" s="6">
        <v>124728</v>
      </c>
      <c r="G239" s="6">
        <v>124074</v>
      </c>
      <c r="H239" s="6">
        <v>124229</v>
      </c>
      <c r="I239" s="1" t="str">
        <f t="shared" si="6"/>
        <v xml:space="preserve"> California</v>
      </c>
      <c r="J239" s="1" t="str">
        <f t="shared" si="7"/>
        <v>Thousand Oaks city</v>
      </c>
      <c r="K239" s="1">
        <f>IF(COUNTIF($I$5:I239,I239)=1,1,0)</f>
        <v>0</v>
      </c>
    </row>
    <row r="240" spans="1:11" x14ac:dyDescent="0.2">
      <c r="A240" s="9">
        <v>236</v>
      </c>
      <c r="B240" s="5" t="s">
        <v>235</v>
      </c>
      <c r="C240" s="6">
        <v>125410</v>
      </c>
      <c r="D240" s="6">
        <v>125284</v>
      </c>
      <c r="E240" s="6">
        <v>124353</v>
      </c>
      <c r="F240" s="6">
        <v>123440</v>
      </c>
      <c r="G240" s="6">
        <v>123189</v>
      </c>
      <c r="H240" s="6">
        <v>124016</v>
      </c>
      <c r="I240" s="1" t="str">
        <f t="shared" si="6"/>
        <v xml:space="preserve"> California</v>
      </c>
      <c r="J240" s="1" t="str">
        <f t="shared" si="7"/>
        <v>Concord city</v>
      </c>
      <c r="K240" s="1">
        <f>IF(COUNTIF($I$5:I240,I240)=1,1,0)</f>
        <v>0</v>
      </c>
    </row>
    <row r="241" spans="1:11" x14ac:dyDescent="0.2">
      <c r="A241" s="9">
        <v>237</v>
      </c>
      <c r="B241" s="5" t="s">
        <v>236</v>
      </c>
      <c r="C241" s="6">
        <v>121391</v>
      </c>
      <c r="D241" s="6">
        <v>121575</v>
      </c>
      <c r="E241" s="6">
        <v>121845</v>
      </c>
      <c r="F241" s="6">
        <v>121979</v>
      </c>
      <c r="G241" s="6">
        <v>122658</v>
      </c>
      <c r="H241" s="6">
        <v>123624</v>
      </c>
      <c r="I241" s="1" t="str">
        <f t="shared" si="6"/>
        <v xml:space="preserve"> Minnesota</v>
      </c>
      <c r="J241" s="1" t="str">
        <f t="shared" si="7"/>
        <v>Rochester city</v>
      </c>
      <c r="K241" s="1">
        <f>IF(COUNTIF($I$5:I241,I241)=1,1,0)</f>
        <v>0</v>
      </c>
    </row>
    <row r="242" spans="1:11" x14ac:dyDescent="0.2">
      <c r="A242" s="9">
        <v>238</v>
      </c>
      <c r="B242" s="5" t="s">
        <v>237</v>
      </c>
      <c r="C242" s="6">
        <v>126082</v>
      </c>
      <c r="D242" s="6">
        <v>125930</v>
      </c>
      <c r="E242" s="6">
        <v>124810</v>
      </c>
      <c r="F242" s="6">
        <v>123934</v>
      </c>
      <c r="G242" s="6">
        <v>123292</v>
      </c>
      <c r="H242" s="6">
        <v>123475</v>
      </c>
      <c r="I242" s="1" t="str">
        <f t="shared" si="6"/>
        <v xml:space="preserve"> California</v>
      </c>
      <c r="J242" s="1" t="str">
        <f t="shared" si="7"/>
        <v>Vallejo city</v>
      </c>
      <c r="K242" s="1">
        <f>IF(COUNTIF($I$5:I242,I242)=1,1,0)</f>
        <v>0</v>
      </c>
    </row>
    <row r="243" spans="1:11" x14ac:dyDescent="0.2">
      <c r="A243" s="9">
        <v>239</v>
      </c>
      <c r="B243" s="5" t="s">
        <v>238</v>
      </c>
      <c r="C243" s="6">
        <v>123892</v>
      </c>
      <c r="D243" s="6">
        <v>123757</v>
      </c>
      <c r="E243" s="6">
        <v>119603</v>
      </c>
      <c r="F243" s="6">
        <v>121274</v>
      </c>
      <c r="G243" s="6">
        <v>122645</v>
      </c>
      <c r="H243" s="6">
        <v>122925</v>
      </c>
      <c r="I243" s="1" t="str">
        <f t="shared" si="6"/>
        <v xml:space="preserve"> Michigan</v>
      </c>
      <c r="J243" s="1" t="str">
        <f t="shared" si="7"/>
        <v>Ann Arbor city</v>
      </c>
      <c r="K243" s="1">
        <f>IF(COUNTIF($I$5:I243,I243)=1,1,0)</f>
        <v>0</v>
      </c>
    </row>
    <row r="244" spans="1:11" x14ac:dyDescent="0.2">
      <c r="A244" s="9">
        <v>240</v>
      </c>
      <c r="B244" s="5" t="s">
        <v>239</v>
      </c>
      <c r="C244" s="6">
        <v>113577</v>
      </c>
      <c r="D244" s="6">
        <v>113955</v>
      </c>
      <c r="E244" s="6">
        <v>116400</v>
      </c>
      <c r="F244" s="6">
        <v>118199</v>
      </c>
      <c r="G244" s="6">
        <v>119734</v>
      </c>
      <c r="H244" s="6">
        <v>122756</v>
      </c>
      <c r="I244" s="1" t="str">
        <f t="shared" si="6"/>
        <v xml:space="preserve"> Oklahoma</v>
      </c>
      <c r="J244" s="1" t="str">
        <f t="shared" si="7"/>
        <v>Broken Arrow city</v>
      </c>
      <c r="K244" s="1">
        <f>IF(COUNTIF($I$5:I244,I244)=1,1,0)</f>
        <v>0</v>
      </c>
    </row>
    <row r="245" spans="1:11" x14ac:dyDescent="0.2">
      <c r="A245" s="9">
        <v>241</v>
      </c>
      <c r="B245" s="5" t="s">
        <v>240</v>
      </c>
      <c r="C245" s="6">
        <v>119927</v>
      </c>
      <c r="D245" s="6">
        <v>119890</v>
      </c>
      <c r="E245" s="6">
        <v>119995</v>
      </c>
      <c r="F245" s="6">
        <v>120205</v>
      </c>
      <c r="G245" s="6">
        <v>121125</v>
      </c>
      <c r="H245" s="6">
        <v>122646</v>
      </c>
      <c r="I245" s="1" t="str">
        <f t="shared" si="6"/>
        <v xml:space="preserve"> California</v>
      </c>
      <c r="J245" s="1" t="str">
        <f t="shared" si="7"/>
        <v>Fairfield city</v>
      </c>
      <c r="K245" s="1">
        <f>IF(COUNTIF($I$5:I245,I245)=1,1,0)</f>
        <v>0</v>
      </c>
    </row>
    <row r="246" spans="1:11" x14ac:dyDescent="0.2">
      <c r="A246" s="9">
        <v>242</v>
      </c>
      <c r="B246" s="5" t="s">
        <v>241</v>
      </c>
      <c r="C246" s="6">
        <v>121391</v>
      </c>
      <c r="D246" s="6">
        <v>121450</v>
      </c>
      <c r="E246" s="6">
        <v>121471</v>
      </c>
      <c r="F246" s="6">
        <v>121506</v>
      </c>
      <c r="G246" s="6">
        <v>121767</v>
      </c>
      <c r="H246" s="6">
        <v>122280</v>
      </c>
      <c r="I246" s="1" t="str">
        <f t="shared" si="6"/>
        <v xml:space="preserve"> Louisiana</v>
      </c>
      <c r="J246" s="1" t="str">
        <f t="shared" si="7"/>
        <v>Lafayette city</v>
      </c>
      <c r="K246" s="1">
        <f>IF(COUNTIF($I$5:I246,I246)=1,1,0)</f>
        <v>0</v>
      </c>
    </row>
    <row r="247" spans="1:11" x14ac:dyDescent="0.2">
      <c r="A247" s="9">
        <v>243</v>
      </c>
      <c r="B247" s="5" t="s">
        <v>242</v>
      </c>
      <c r="C247" s="6">
        <v>121631</v>
      </c>
      <c r="D247" s="6">
        <v>120469</v>
      </c>
      <c r="E247" s="6">
        <v>120788</v>
      </c>
      <c r="F247" s="6">
        <v>120888</v>
      </c>
      <c r="G247" s="6">
        <v>121332</v>
      </c>
      <c r="H247" s="6">
        <v>122129</v>
      </c>
      <c r="I247" s="1" t="str">
        <f t="shared" si="6"/>
        <v xml:space="preserve"> Connecticut</v>
      </c>
      <c r="J247" s="1" t="str">
        <f t="shared" si="7"/>
        <v>Hartford city</v>
      </c>
      <c r="K247" s="1">
        <f>IF(COUNTIF($I$5:I247,I247)=1,1,0)</f>
        <v>0</v>
      </c>
    </row>
    <row r="248" spans="1:11" x14ac:dyDescent="0.2">
      <c r="A248" s="9">
        <v>244</v>
      </c>
      <c r="B248" s="5" t="s">
        <v>243</v>
      </c>
      <c r="C248" s="6">
        <v>124354</v>
      </c>
      <c r="D248" s="6">
        <v>124363</v>
      </c>
      <c r="E248" s="6">
        <v>123512</v>
      </c>
      <c r="F248" s="6">
        <v>121608</v>
      </c>
      <c r="G248" s="6">
        <v>121706</v>
      </c>
      <c r="H248" s="6">
        <v>121873</v>
      </c>
      <c r="I248" s="1" t="str">
        <f t="shared" si="6"/>
        <v xml:space="preserve"> Colorado</v>
      </c>
      <c r="J248" s="1" t="str">
        <f t="shared" si="7"/>
        <v>Arvada city</v>
      </c>
      <c r="K248" s="1">
        <f>IF(COUNTIF($I$5:I248,I248)=1,1,0)</f>
        <v>0</v>
      </c>
    </row>
    <row r="249" spans="1:11" x14ac:dyDescent="0.2">
      <c r="A249" s="9">
        <v>245</v>
      </c>
      <c r="B249" s="5" t="s">
        <v>244</v>
      </c>
      <c r="C249" s="6">
        <v>124320</v>
      </c>
      <c r="D249" s="6">
        <v>124219</v>
      </c>
      <c r="E249" s="6">
        <v>115555</v>
      </c>
      <c r="F249" s="6">
        <v>119429</v>
      </c>
      <c r="G249" s="6">
        <v>120320</v>
      </c>
      <c r="H249" s="6">
        <v>121749</v>
      </c>
      <c r="I249" s="1" t="str">
        <f t="shared" si="6"/>
        <v xml:space="preserve"> California</v>
      </c>
      <c r="J249" s="1" t="str">
        <f t="shared" si="7"/>
        <v>Berkeley city</v>
      </c>
      <c r="K249" s="1">
        <f>IF(COUNTIF($I$5:I249,I249)=1,1,0)</f>
        <v>0</v>
      </c>
    </row>
    <row r="250" spans="1:11" x14ac:dyDescent="0.2">
      <c r="A250" s="9">
        <v>246</v>
      </c>
      <c r="B250" s="5" t="s">
        <v>245</v>
      </c>
      <c r="C250" s="6">
        <v>122926</v>
      </c>
      <c r="D250" s="6">
        <v>122845</v>
      </c>
      <c r="E250" s="6">
        <v>122149</v>
      </c>
      <c r="F250" s="6">
        <v>120981</v>
      </c>
      <c r="G250" s="6">
        <v>121060</v>
      </c>
      <c r="H250" s="6">
        <v>121629</v>
      </c>
      <c r="I250" s="1" t="str">
        <f t="shared" si="6"/>
        <v xml:space="preserve"> Missouri</v>
      </c>
      <c r="J250" s="1" t="str">
        <f t="shared" si="7"/>
        <v>Independence city</v>
      </c>
      <c r="K250" s="1">
        <f>IF(COUNTIF($I$5:I250,I250)=1,1,0)</f>
        <v>0</v>
      </c>
    </row>
    <row r="251" spans="1:11" x14ac:dyDescent="0.2">
      <c r="A251" s="9">
        <v>247</v>
      </c>
      <c r="B251" s="5" t="s">
        <v>246</v>
      </c>
      <c r="C251" s="6">
        <v>117159</v>
      </c>
      <c r="D251" s="6">
        <v>117233</v>
      </c>
      <c r="E251" s="6">
        <v>117763</v>
      </c>
      <c r="F251" s="6">
        <v>119952</v>
      </c>
      <c r="G251" s="6">
        <v>120797</v>
      </c>
      <c r="H251" s="6">
        <v>121483</v>
      </c>
      <c r="I251" s="1" t="str">
        <f t="shared" si="6"/>
        <v xml:space="preserve"> Montana</v>
      </c>
      <c r="J251" s="1" t="str">
        <f t="shared" si="7"/>
        <v>Billings city</v>
      </c>
      <c r="K251" s="1">
        <f>IF(COUNTIF($I$5:I251,I251)=1,1,0)</f>
        <v>1</v>
      </c>
    </row>
    <row r="252" spans="1:11" x14ac:dyDescent="0.2">
      <c r="A252" s="9">
        <v>248</v>
      </c>
      <c r="B252" s="5" t="s">
        <v>247</v>
      </c>
      <c r="C252" s="6">
        <v>118379</v>
      </c>
      <c r="D252" s="6">
        <v>118204</v>
      </c>
      <c r="E252" s="6">
        <v>117215</v>
      </c>
      <c r="F252" s="6">
        <v>117973</v>
      </c>
      <c r="G252" s="6">
        <v>119315</v>
      </c>
      <c r="H252" s="6">
        <v>121186</v>
      </c>
      <c r="I252" s="1" t="str">
        <f t="shared" si="6"/>
        <v xml:space="preserve"> Massachusetts</v>
      </c>
      <c r="J252" s="1" t="str">
        <f t="shared" si="7"/>
        <v>Cambridge city</v>
      </c>
      <c r="K252" s="1">
        <f>IF(COUNTIF($I$5:I252,I252)=1,1,0)</f>
        <v>0</v>
      </c>
    </row>
    <row r="253" spans="1:11" x14ac:dyDescent="0.2">
      <c r="A253" s="9">
        <v>249</v>
      </c>
      <c r="B253" s="5" t="s">
        <v>248</v>
      </c>
      <c r="C253" s="6">
        <v>115560</v>
      </c>
      <c r="D253" s="6">
        <v>115834</v>
      </c>
      <c r="E253" s="6">
        <v>117970</v>
      </c>
      <c r="F253" s="6">
        <v>118510</v>
      </c>
      <c r="G253" s="6">
        <v>119153</v>
      </c>
      <c r="H253" s="6">
        <v>120418</v>
      </c>
      <c r="I253" s="1" t="str">
        <f t="shared" si="6"/>
        <v xml:space="preserve"> Massachusetts</v>
      </c>
      <c r="J253" s="1" t="str">
        <f t="shared" si="7"/>
        <v>Lowell city</v>
      </c>
      <c r="K253" s="1">
        <f>IF(COUNTIF($I$5:I253,I253)=1,1,0)</f>
        <v>0</v>
      </c>
    </row>
    <row r="254" spans="1:11" x14ac:dyDescent="0.2">
      <c r="A254" s="9">
        <v>250</v>
      </c>
      <c r="B254" s="5" t="s">
        <v>249</v>
      </c>
      <c r="C254" s="6">
        <v>114451</v>
      </c>
      <c r="D254" s="6">
        <v>114934</v>
      </c>
      <c r="E254" s="6">
        <v>112210</v>
      </c>
      <c r="F254" s="6">
        <v>113304</v>
      </c>
      <c r="G254" s="6">
        <v>116402</v>
      </c>
      <c r="H254" s="6">
        <v>119748</v>
      </c>
      <c r="I254" s="1" t="str">
        <f t="shared" si="6"/>
        <v xml:space="preserve"> Texas</v>
      </c>
      <c r="J254" s="1" t="str">
        <f t="shared" si="7"/>
        <v>Odessa city</v>
      </c>
      <c r="K254" s="1">
        <f>IF(COUNTIF($I$5:I254,I254)=1,1,0)</f>
        <v>0</v>
      </c>
    </row>
    <row r="255" spans="1:11" x14ac:dyDescent="0.2">
      <c r="A255" s="9">
        <v>251</v>
      </c>
      <c r="B255" s="5" t="s">
        <v>250</v>
      </c>
      <c r="C255" s="6">
        <v>114115</v>
      </c>
      <c r="D255" s="6">
        <v>114767</v>
      </c>
      <c r="E255" s="6">
        <v>115091</v>
      </c>
      <c r="F255" s="6">
        <v>115774</v>
      </c>
      <c r="G255" s="6">
        <v>117598</v>
      </c>
      <c r="H255" s="6">
        <v>118601</v>
      </c>
      <c r="I255" s="1" t="str">
        <f t="shared" si="6"/>
        <v xml:space="preserve"> North Carolina</v>
      </c>
      <c r="J255" s="1" t="str">
        <f t="shared" si="7"/>
        <v>High Point city</v>
      </c>
      <c r="K255" s="1">
        <f>IF(COUNTIF($I$5:I255,I255)=1,1,0)</f>
        <v>0</v>
      </c>
    </row>
    <row r="256" spans="1:11" x14ac:dyDescent="0.2">
      <c r="A256" s="9">
        <v>252</v>
      </c>
      <c r="B256" s="5" t="s">
        <v>251</v>
      </c>
      <c r="C256" s="6">
        <v>114344</v>
      </c>
      <c r="D256" s="6">
        <v>114659</v>
      </c>
      <c r="E256" s="6">
        <v>115672</v>
      </c>
      <c r="F256" s="6">
        <v>115603</v>
      </c>
      <c r="G256" s="6">
        <v>116624</v>
      </c>
      <c r="H256" s="6">
        <v>118456</v>
      </c>
      <c r="I256" s="1" t="str">
        <f t="shared" si="6"/>
        <v xml:space="preserve"> Texas</v>
      </c>
      <c r="J256" s="1" t="str">
        <f t="shared" si="7"/>
        <v>League City city</v>
      </c>
      <c r="K256" s="1">
        <f>IF(COUNTIF($I$5:I256,I256)=1,1,0)</f>
        <v>0</v>
      </c>
    </row>
    <row r="257" spans="1:11" x14ac:dyDescent="0.2">
      <c r="A257" s="9">
        <v>253</v>
      </c>
      <c r="B257" s="5" t="s">
        <v>252</v>
      </c>
      <c r="C257" s="6">
        <v>115304</v>
      </c>
      <c r="D257" s="6">
        <v>115382</v>
      </c>
      <c r="E257" s="6">
        <v>115489</v>
      </c>
      <c r="F257" s="6">
        <v>116098</v>
      </c>
      <c r="G257" s="6">
        <v>117179</v>
      </c>
      <c r="H257" s="6">
        <v>118453</v>
      </c>
      <c r="I257" s="1" t="str">
        <f t="shared" si="6"/>
        <v xml:space="preserve"> California</v>
      </c>
      <c r="J257" s="1" t="str">
        <f t="shared" si="7"/>
        <v>Antioch city</v>
      </c>
      <c r="K257" s="1">
        <f>IF(COUNTIF($I$5:I257,I257)=1,1,0)</f>
        <v>0</v>
      </c>
    </row>
    <row r="258" spans="1:11" x14ac:dyDescent="0.2">
      <c r="A258" s="9">
        <v>254</v>
      </c>
      <c r="B258" s="5" t="s">
        <v>253</v>
      </c>
      <c r="C258" s="6">
        <v>119465</v>
      </c>
      <c r="D258" s="6">
        <v>119308</v>
      </c>
      <c r="E258" s="6">
        <v>118134</v>
      </c>
      <c r="F258" s="6">
        <v>119192</v>
      </c>
      <c r="G258" s="6">
        <v>118626</v>
      </c>
      <c r="H258" s="6">
        <v>118221</v>
      </c>
      <c r="I258" s="1" t="str">
        <f t="shared" si="6"/>
        <v xml:space="preserve"> Texas</v>
      </c>
      <c r="J258" s="1" t="str">
        <f t="shared" si="7"/>
        <v>Richardson city</v>
      </c>
      <c r="K258" s="1">
        <f>IF(COUNTIF($I$5:I258,I258)=1,1,0)</f>
        <v>0</v>
      </c>
    </row>
    <row r="259" spans="1:11" x14ac:dyDescent="0.2">
      <c r="A259" s="9">
        <v>255</v>
      </c>
      <c r="B259" s="5" t="s">
        <v>254</v>
      </c>
      <c r="C259" s="6">
        <v>96165</v>
      </c>
      <c r="D259" s="6">
        <v>97814</v>
      </c>
      <c r="E259" s="6">
        <v>102778</v>
      </c>
      <c r="F259" s="6">
        <v>107415</v>
      </c>
      <c r="G259" s="6">
        <v>112157</v>
      </c>
      <c r="H259" s="6">
        <v>118186</v>
      </c>
      <c r="I259" s="1" t="str">
        <f t="shared" si="6"/>
        <v xml:space="preserve"> Arizona</v>
      </c>
      <c r="J259" s="1" t="str">
        <f t="shared" si="7"/>
        <v>Goodyear city</v>
      </c>
      <c r="K259" s="1">
        <f>IF(COUNTIF($I$5:I259,I259)=1,1,0)</f>
        <v>0</v>
      </c>
    </row>
    <row r="260" spans="1:11" x14ac:dyDescent="0.2">
      <c r="A260" s="9">
        <v>256</v>
      </c>
      <c r="B260" s="5" t="s">
        <v>255</v>
      </c>
      <c r="C260" s="6">
        <v>112057</v>
      </c>
      <c r="D260" s="6">
        <v>111964</v>
      </c>
      <c r="E260" s="6">
        <v>111522</v>
      </c>
      <c r="F260" s="6">
        <v>113372</v>
      </c>
      <c r="G260" s="6">
        <v>115903</v>
      </c>
      <c r="H260" s="6">
        <v>118104</v>
      </c>
      <c r="I260" s="1" t="str">
        <f t="shared" si="6"/>
        <v xml:space="preserve"> Florida</v>
      </c>
      <c r="J260" s="1" t="str">
        <f t="shared" si="7"/>
        <v>Pompano Beach city</v>
      </c>
      <c r="K260" s="1">
        <f>IF(COUNTIF($I$5:I260,I260)=1,1,0)</f>
        <v>0</v>
      </c>
    </row>
    <row r="261" spans="1:11" x14ac:dyDescent="0.2">
      <c r="A261" s="9">
        <v>257</v>
      </c>
      <c r="B261" s="5" t="s">
        <v>256</v>
      </c>
      <c r="C261" s="6">
        <v>100428</v>
      </c>
      <c r="D261" s="6">
        <v>101430</v>
      </c>
      <c r="E261" s="6">
        <v>106617</v>
      </c>
      <c r="F261" s="6">
        <v>111229</v>
      </c>
      <c r="G261" s="6">
        <v>114825</v>
      </c>
      <c r="H261" s="6">
        <v>117350</v>
      </c>
      <c r="I261" s="1" t="str">
        <f t="shared" si="6"/>
        <v xml:space="preserve"> Idaho</v>
      </c>
      <c r="J261" s="1" t="str">
        <f t="shared" si="7"/>
        <v>Nampa city</v>
      </c>
      <c r="K261" s="1">
        <f>IF(COUNTIF($I$5:I261,I261)=1,1,0)</f>
        <v>0</v>
      </c>
    </row>
    <row r="262" spans="1:11" x14ac:dyDescent="0.2">
      <c r="A262" s="9">
        <v>258</v>
      </c>
      <c r="B262" s="5" t="s">
        <v>257</v>
      </c>
      <c r="C262" s="6">
        <v>102523</v>
      </c>
      <c r="D262" s="6">
        <v>103218</v>
      </c>
      <c r="E262" s="6">
        <v>107044</v>
      </c>
      <c r="F262" s="6">
        <v>110473</v>
      </c>
      <c r="G262" s="6">
        <v>113684</v>
      </c>
      <c r="H262" s="6">
        <v>117041</v>
      </c>
      <c r="I262" s="1" t="str">
        <f t="shared" ref="I262:I325" si="8">_xlfn.TEXTAFTER(B262,",")</f>
        <v xml:space="preserve"> California</v>
      </c>
      <c r="J262" s="1" t="str">
        <f t="shared" ref="J262:J325" si="9">_xlfn.TEXTBEFORE(B262,", ")</f>
        <v>Menifee city</v>
      </c>
      <c r="K262" s="1">
        <f>IF(COUNTIF($I$5:I262,I262)=1,1,0)</f>
        <v>0</v>
      </c>
    </row>
    <row r="263" spans="1:11" x14ac:dyDescent="0.2">
      <c r="A263" s="9">
        <v>259</v>
      </c>
      <c r="B263" s="5" t="s">
        <v>258</v>
      </c>
      <c r="C263" s="6">
        <v>111400</v>
      </c>
      <c r="D263" s="6">
        <v>111721</v>
      </c>
      <c r="E263" s="6">
        <v>112797</v>
      </c>
      <c r="F263" s="6">
        <v>113921</v>
      </c>
      <c r="G263" s="6">
        <v>115489</v>
      </c>
      <c r="H263" s="6">
        <v>116998</v>
      </c>
      <c r="I263" s="1" t="str">
        <f t="shared" si="8"/>
        <v xml:space="preserve"> New Mexico</v>
      </c>
      <c r="J263" s="1" t="str">
        <f t="shared" si="9"/>
        <v>Las Cruces city</v>
      </c>
      <c r="K263" s="1">
        <f>IF(COUNTIF($I$5:I263,I263)=1,1,0)</f>
        <v>0</v>
      </c>
    </row>
    <row r="264" spans="1:11" x14ac:dyDescent="0.2">
      <c r="A264" s="9">
        <v>260</v>
      </c>
      <c r="B264" s="5" t="s">
        <v>259</v>
      </c>
      <c r="C264" s="6">
        <v>117435</v>
      </c>
      <c r="D264" s="6">
        <v>117343</v>
      </c>
      <c r="E264" s="6">
        <v>117133</v>
      </c>
      <c r="F264" s="6">
        <v>117344</v>
      </c>
      <c r="G264" s="6">
        <v>117555</v>
      </c>
      <c r="H264" s="6">
        <v>116811</v>
      </c>
      <c r="I264" s="1" t="str">
        <f t="shared" si="8"/>
        <v xml:space="preserve"> Florida</v>
      </c>
      <c r="J264" s="1" t="str">
        <f t="shared" si="9"/>
        <v>Clearwater city</v>
      </c>
      <c r="K264" s="1">
        <f>IF(COUNTIF($I$5:I264,I264)=1,1,0)</f>
        <v>0</v>
      </c>
    </row>
    <row r="265" spans="1:11" x14ac:dyDescent="0.2">
      <c r="A265" s="9">
        <v>261</v>
      </c>
      <c r="B265" s="5" t="s">
        <v>260</v>
      </c>
      <c r="C265" s="6">
        <v>116961</v>
      </c>
      <c r="D265" s="6">
        <v>117034</v>
      </c>
      <c r="E265" s="6">
        <v>116549</v>
      </c>
      <c r="F265" s="6">
        <v>117150</v>
      </c>
      <c r="G265" s="6">
        <v>116197</v>
      </c>
      <c r="H265" s="6">
        <v>116688</v>
      </c>
      <c r="I265" s="1" t="str">
        <f t="shared" si="8"/>
        <v xml:space="preserve"> Utah</v>
      </c>
      <c r="J265" s="1" t="str">
        <f t="shared" si="9"/>
        <v>West Jordan city</v>
      </c>
      <c r="K265" s="1">
        <f>IF(COUNTIF($I$5:I265,I265)=1,1,0)</f>
        <v>0</v>
      </c>
    </row>
    <row r="266" spans="1:11" x14ac:dyDescent="0.2">
      <c r="A266" s="9">
        <v>262</v>
      </c>
      <c r="B266" s="5" t="s">
        <v>261</v>
      </c>
      <c r="C266" s="6">
        <v>90441</v>
      </c>
      <c r="D266" s="6">
        <v>91683</v>
      </c>
      <c r="E266" s="6">
        <v>99130</v>
      </c>
      <c r="F266" s="6">
        <v>104840</v>
      </c>
      <c r="G266" s="6">
        <v>111202</v>
      </c>
      <c r="H266" s="6">
        <v>116477</v>
      </c>
      <c r="I266" s="1" t="str">
        <f t="shared" si="8"/>
        <v xml:space="preserve"> Texas</v>
      </c>
      <c r="J266" s="1" t="str">
        <f t="shared" si="9"/>
        <v>New Braunfels city</v>
      </c>
      <c r="K266" s="1">
        <f>IF(COUNTIF($I$5:I266,I266)=1,1,0)</f>
        <v>0</v>
      </c>
    </row>
    <row r="267" spans="1:11" x14ac:dyDescent="0.2">
      <c r="A267" s="9">
        <v>263</v>
      </c>
      <c r="B267" s="5" t="s">
        <v>262</v>
      </c>
      <c r="C267" s="6">
        <v>115653</v>
      </c>
      <c r="D267" s="6">
        <v>115512</v>
      </c>
      <c r="E267" s="6">
        <v>115140</v>
      </c>
      <c r="F267" s="6">
        <v>115454</v>
      </c>
      <c r="G267" s="6">
        <v>115692</v>
      </c>
      <c r="H267" s="6">
        <v>116386</v>
      </c>
      <c r="I267" s="1" t="str">
        <f t="shared" si="8"/>
        <v xml:space="preserve"> New Hampshire</v>
      </c>
      <c r="J267" s="1" t="str">
        <f t="shared" si="9"/>
        <v>Manchester city</v>
      </c>
      <c r="K267" s="1">
        <f>IF(COUNTIF($I$5:I267,I267)=1,1,0)</f>
        <v>1</v>
      </c>
    </row>
    <row r="268" spans="1:11" x14ac:dyDescent="0.2">
      <c r="A268" s="9">
        <v>264</v>
      </c>
      <c r="B268" s="5" t="s">
        <v>263</v>
      </c>
      <c r="C268" s="6">
        <v>111598</v>
      </c>
      <c r="D268" s="6">
        <v>111445</v>
      </c>
      <c r="E268" s="6">
        <v>111583</v>
      </c>
      <c r="F268" s="6">
        <v>112231</v>
      </c>
      <c r="G268" s="6">
        <v>114525</v>
      </c>
      <c r="H268" s="6">
        <v>116173</v>
      </c>
      <c r="I268" s="1" t="str">
        <f t="shared" si="8"/>
        <v xml:space="preserve"> Florida</v>
      </c>
      <c r="J268" s="1" t="str">
        <f t="shared" si="9"/>
        <v>Miami Gardens city</v>
      </c>
      <c r="K268" s="1">
        <f>IF(COUNTIF($I$5:I268,I268)=1,1,0)</f>
        <v>0</v>
      </c>
    </row>
    <row r="269" spans="1:11" x14ac:dyDescent="0.2">
      <c r="A269" s="9">
        <v>265</v>
      </c>
      <c r="B269" s="5" t="s">
        <v>264</v>
      </c>
      <c r="C269" s="6">
        <v>114457</v>
      </c>
      <c r="D269" s="6">
        <v>113889</v>
      </c>
      <c r="E269" s="6">
        <v>114588</v>
      </c>
      <c r="F269" s="6">
        <v>114734</v>
      </c>
      <c r="G269" s="6">
        <v>115288</v>
      </c>
      <c r="H269" s="6">
        <v>115908</v>
      </c>
      <c r="I269" s="1" t="str">
        <f t="shared" si="8"/>
        <v xml:space="preserve"> Connecticut</v>
      </c>
      <c r="J269" s="1" t="str">
        <f t="shared" si="9"/>
        <v>Waterbury city</v>
      </c>
      <c r="K269" s="1">
        <f>IF(COUNTIF($I$5:I269,I269)=1,1,0)</f>
        <v>0</v>
      </c>
    </row>
    <row r="270" spans="1:11" x14ac:dyDescent="0.2">
      <c r="A270" s="9">
        <v>266</v>
      </c>
      <c r="B270" s="5" t="s">
        <v>265</v>
      </c>
      <c r="C270" s="6">
        <v>115178</v>
      </c>
      <c r="D270" s="6">
        <v>115104</v>
      </c>
      <c r="E270" s="6">
        <v>114975</v>
      </c>
      <c r="F270" s="6">
        <v>114038</v>
      </c>
      <c r="G270" s="6">
        <v>114276</v>
      </c>
      <c r="H270" s="6">
        <v>115479</v>
      </c>
      <c r="I270" s="1" t="str">
        <f t="shared" si="8"/>
        <v xml:space="preserve"> Utah</v>
      </c>
      <c r="J270" s="1" t="str">
        <f t="shared" si="9"/>
        <v>Provo city</v>
      </c>
      <c r="K270" s="1">
        <f>IF(COUNTIF($I$5:I270,I270)=1,1,0)</f>
        <v>0</v>
      </c>
    </row>
    <row r="271" spans="1:11" x14ac:dyDescent="0.2">
      <c r="A271" s="9">
        <v>267</v>
      </c>
      <c r="B271" s="5" t="s">
        <v>266</v>
      </c>
      <c r="C271" s="6">
        <v>117293</v>
      </c>
      <c r="D271" s="6">
        <v>117377</v>
      </c>
      <c r="E271" s="6">
        <v>116627</v>
      </c>
      <c r="F271" s="6">
        <v>115751</v>
      </c>
      <c r="G271" s="6">
        <v>115421</v>
      </c>
      <c r="H271" s="6">
        <v>115395</v>
      </c>
      <c r="I271" s="1" t="str">
        <f t="shared" si="8"/>
        <v xml:space="preserve"> Indiana</v>
      </c>
      <c r="J271" s="1" t="str">
        <f t="shared" si="9"/>
        <v>Evansville city</v>
      </c>
      <c r="K271" s="1">
        <f>IF(COUNTIF($I$5:I271,I271)=1,1,0)</f>
        <v>0</v>
      </c>
    </row>
    <row r="272" spans="1:11" x14ac:dyDescent="0.2">
      <c r="A272" s="9">
        <v>268</v>
      </c>
      <c r="B272" s="5" t="s">
        <v>267</v>
      </c>
      <c r="C272" s="6">
        <v>116303</v>
      </c>
      <c r="D272" s="6">
        <v>116177</v>
      </c>
      <c r="E272" s="6">
        <v>115745</v>
      </c>
      <c r="F272" s="6">
        <v>115291</v>
      </c>
      <c r="G272" s="6">
        <v>114865</v>
      </c>
      <c r="H272" s="6">
        <v>115353</v>
      </c>
      <c r="I272" s="1" t="str">
        <f t="shared" si="8"/>
        <v xml:space="preserve"> California</v>
      </c>
      <c r="J272" s="1" t="str">
        <f t="shared" si="9"/>
        <v>Richmond city</v>
      </c>
      <c r="K272" s="1">
        <f>IF(COUNTIF($I$5:I272,I272)=1,1,0)</f>
        <v>0</v>
      </c>
    </row>
    <row r="273" spans="1:11" x14ac:dyDescent="0.2">
      <c r="A273" s="9">
        <v>269</v>
      </c>
      <c r="B273" s="5" t="s">
        <v>268</v>
      </c>
      <c r="C273" s="6">
        <v>116654</v>
      </c>
      <c r="D273" s="6">
        <v>116653</v>
      </c>
      <c r="E273" s="6">
        <v>115127</v>
      </c>
      <c r="F273" s="6">
        <v>115002</v>
      </c>
      <c r="G273" s="6">
        <v>115334</v>
      </c>
      <c r="H273" s="6">
        <v>115302</v>
      </c>
      <c r="I273" s="1" t="str">
        <f t="shared" si="8"/>
        <v xml:space="preserve"> Colorado</v>
      </c>
      <c r="J273" s="1" t="str">
        <f t="shared" si="9"/>
        <v>Westminster city</v>
      </c>
      <c r="K273" s="1">
        <f>IF(COUNTIF($I$5:I273,I273)=1,1,0)</f>
        <v>0</v>
      </c>
    </row>
    <row r="274" spans="1:11" x14ac:dyDescent="0.2">
      <c r="A274" s="9">
        <v>270</v>
      </c>
      <c r="B274" s="5" t="s">
        <v>269</v>
      </c>
      <c r="C274" s="6">
        <v>114834</v>
      </c>
      <c r="D274" s="6">
        <v>114645</v>
      </c>
      <c r="E274" s="6">
        <v>114093</v>
      </c>
      <c r="F274" s="6">
        <v>113392</v>
      </c>
      <c r="G274" s="6">
        <v>113922</v>
      </c>
      <c r="H274" s="6">
        <v>114701</v>
      </c>
      <c r="I274" s="1" t="str">
        <f t="shared" si="8"/>
        <v xml:space="preserve"> Illinois</v>
      </c>
      <c r="J274" s="1" t="str">
        <f t="shared" si="9"/>
        <v>Elgin city</v>
      </c>
      <c r="K274" s="1">
        <f>IF(COUNTIF($I$5:I274,I274)=1,1,0)</f>
        <v>0</v>
      </c>
    </row>
    <row r="275" spans="1:11" x14ac:dyDescent="0.2">
      <c r="A275" s="9">
        <v>271</v>
      </c>
      <c r="B275" s="5" t="s">
        <v>270</v>
      </c>
      <c r="C275" s="6">
        <v>89973</v>
      </c>
      <c r="D275" s="6">
        <v>91234</v>
      </c>
      <c r="E275" s="6">
        <v>95529</v>
      </c>
      <c r="F275" s="6">
        <v>101749</v>
      </c>
      <c r="G275" s="6">
        <v>108905</v>
      </c>
      <c r="H275" s="6">
        <v>114581</v>
      </c>
      <c r="I275" s="1" t="str">
        <f t="shared" si="8"/>
        <v xml:space="preserve"> Texas</v>
      </c>
      <c r="J275" s="1" t="str">
        <f t="shared" si="9"/>
        <v>Conroe city</v>
      </c>
      <c r="K275" s="1">
        <f>IF(COUNTIF($I$5:I275,I275)=1,1,0)</f>
        <v>0</v>
      </c>
    </row>
    <row r="276" spans="1:11" x14ac:dyDescent="0.2">
      <c r="A276" s="9">
        <v>272</v>
      </c>
      <c r="B276" s="5" t="s">
        <v>271</v>
      </c>
      <c r="C276" s="6">
        <v>108809</v>
      </c>
      <c r="D276" s="6">
        <v>109289</v>
      </c>
      <c r="E276" s="6">
        <v>108584</v>
      </c>
      <c r="F276" s="6">
        <v>109160</v>
      </c>
      <c r="G276" s="6">
        <v>112647</v>
      </c>
      <c r="H276" s="6">
        <v>114363</v>
      </c>
      <c r="I276" s="1" t="str">
        <f t="shared" si="8"/>
        <v xml:space="preserve"> Colorado</v>
      </c>
      <c r="J276" s="1" t="str">
        <f t="shared" si="9"/>
        <v>Greeley city</v>
      </c>
      <c r="K276" s="1">
        <f>IF(COUNTIF($I$5:I276,I276)=1,1,0)</f>
        <v>0</v>
      </c>
    </row>
    <row r="277" spans="1:11" x14ac:dyDescent="0.2">
      <c r="A277" s="9">
        <v>273</v>
      </c>
      <c r="B277" s="5" t="s">
        <v>272</v>
      </c>
      <c r="C277" s="6">
        <v>112642</v>
      </c>
      <c r="D277" s="6">
        <v>112555</v>
      </c>
      <c r="E277" s="6">
        <v>112497</v>
      </c>
      <c r="F277" s="6">
        <v>112652</v>
      </c>
      <c r="G277" s="6">
        <v>113224</v>
      </c>
      <c r="H277" s="6">
        <v>114336</v>
      </c>
      <c r="I277" s="1" t="str">
        <f t="shared" si="8"/>
        <v xml:space="preserve"> Michigan</v>
      </c>
      <c r="J277" s="1" t="str">
        <f t="shared" si="9"/>
        <v>Lansing city</v>
      </c>
      <c r="K277" s="1">
        <f>IF(COUNTIF($I$5:I277,I277)=1,1,0)</f>
        <v>0</v>
      </c>
    </row>
    <row r="278" spans="1:11" x14ac:dyDescent="0.2">
      <c r="A278" s="9">
        <v>274</v>
      </c>
      <c r="B278" s="5" t="s">
        <v>273</v>
      </c>
      <c r="C278" s="6">
        <v>91526</v>
      </c>
      <c r="D278" s="6">
        <v>93741</v>
      </c>
      <c r="E278" s="6">
        <v>101678</v>
      </c>
      <c r="F278" s="6">
        <v>105576</v>
      </c>
      <c r="G278" s="6">
        <v>109374</v>
      </c>
      <c r="H278" s="6">
        <v>114334</v>
      </c>
      <c r="I278" s="1" t="str">
        <f t="shared" si="8"/>
        <v xml:space="preserve"> Arizona</v>
      </c>
      <c r="J278" s="1" t="str">
        <f t="shared" si="9"/>
        <v>Buckeye city</v>
      </c>
      <c r="K278" s="1">
        <f>IF(COUNTIF($I$5:I278,I278)=1,1,0)</f>
        <v>0</v>
      </c>
    </row>
    <row r="279" spans="1:11" x14ac:dyDescent="0.2">
      <c r="A279" s="9">
        <v>275</v>
      </c>
      <c r="B279" s="5" t="s">
        <v>274</v>
      </c>
      <c r="C279" s="6">
        <v>100987</v>
      </c>
      <c r="D279" s="6">
        <v>105578</v>
      </c>
      <c r="E279" s="6">
        <v>110442</v>
      </c>
      <c r="F279" s="6">
        <v>112035</v>
      </c>
      <c r="G279" s="6">
        <v>113016</v>
      </c>
      <c r="H279" s="6">
        <v>114288</v>
      </c>
      <c r="I279" s="1" t="str">
        <f t="shared" si="8"/>
        <v xml:space="preserve"> Alabama</v>
      </c>
      <c r="J279" s="1" t="str">
        <f t="shared" si="9"/>
        <v>Tuscaloosa city</v>
      </c>
      <c r="K279" s="1">
        <f>IF(COUNTIF($I$5:I279,I279)=1,1,0)</f>
        <v>0</v>
      </c>
    </row>
    <row r="280" spans="1:11" x14ac:dyDescent="0.2">
      <c r="A280" s="9">
        <v>276</v>
      </c>
      <c r="B280" s="5" t="s">
        <v>275</v>
      </c>
      <c r="C280" s="6">
        <v>104648</v>
      </c>
      <c r="D280" s="6">
        <v>105556</v>
      </c>
      <c r="E280" s="6">
        <v>107088</v>
      </c>
      <c r="F280" s="6">
        <v>112068</v>
      </c>
      <c r="G280" s="6">
        <v>112852</v>
      </c>
      <c r="H280" s="6">
        <v>113746</v>
      </c>
      <c r="I280" s="1" t="str">
        <f t="shared" si="8"/>
        <v xml:space="preserve"> Texas</v>
      </c>
      <c r="J280" s="1" t="str">
        <f t="shared" si="9"/>
        <v>Allen city</v>
      </c>
      <c r="K280" s="1">
        <f>IF(COUNTIF($I$5:I280,I280)=1,1,0)</f>
        <v>0</v>
      </c>
    </row>
    <row r="281" spans="1:11" x14ac:dyDescent="0.2">
      <c r="A281" s="9">
        <v>277</v>
      </c>
      <c r="B281" s="5" t="s">
        <v>276</v>
      </c>
      <c r="C281" s="6">
        <v>114733</v>
      </c>
      <c r="D281" s="6">
        <v>114930</v>
      </c>
      <c r="E281" s="6">
        <v>114968</v>
      </c>
      <c r="F281" s="6">
        <v>114586</v>
      </c>
      <c r="G281" s="6">
        <v>113920</v>
      </c>
      <c r="H281" s="6">
        <v>113575</v>
      </c>
      <c r="I281" s="1" t="str">
        <f t="shared" si="8"/>
        <v xml:space="preserve"> California</v>
      </c>
      <c r="J281" s="1" t="str">
        <f t="shared" si="9"/>
        <v>Carlsbad city</v>
      </c>
      <c r="K281" s="1">
        <f>IF(COUNTIF($I$5:I281,I281)=1,1,0)</f>
        <v>0</v>
      </c>
    </row>
    <row r="282" spans="1:11" x14ac:dyDescent="0.2">
      <c r="A282" s="9">
        <v>278</v>
      </c>
      <c r="B282" s="5" t="s">
        <v>277</v>
      </c>
      <c r="C282" s="6">
        <v>110600</v>
      </c>
      <c r="D282" s="6">
        <v>110892</v>
      </c>
      <c r="E282" s="6">
        <v>111218</v>
      </c>
      <c r="F282" s="6">
        <v>111842</v>
      </c>
      <c r="G282" s="6">
        <v>112233</v>
      </c>
      <c r="H282" s="6">
        <v>113011</v>
      </c>
      <c r="I282" s="1" t="str">
        <f t="shared" si="8"/>
        <v xml:space="preserve"> Washington</v>
      </c>
      <c r="J282" s="1" t="str">
        <f t="shared" si="9"/>
        <v>Everett city</v>
      </c>
      <c r="K282" s="1">
        <f>IF(COUNTIF($I$5:I282,I282)=1,1,0)</f>
        <v>0</v>
      </c>
    </row>
    <row r="283" spans="1:11" x14ac:dyDescent="0.2">
      <c r="A283" s="9">
        <v>279</v>
      </c>
      <c r="B283" s="5" t="s">
        <v>278</v>
      </c>
      <c r="C283" s="6">
        <v>114506</v>
      </c>
      <c r="D283" s="6">
        <v>114375</v>
      </c>
      <c r="E283" s="6">
        <v>113822</v>
      </c>
      <c r="F283" s="6">
        <v>113299</v>
      </c>
      <c r="G283" s="6">
        <v>113003</v>
      </c>
      <c r="H283" s="6">
        <v>112949</v>
      </c>
      <c r="I283" s="1" t="str">
        <f t="shared" si="8"/>
        <v xml:space="preserve"> Illinois</v>
      </c>
      <c r="J283" s="1" t="str">
        <f t="shared" si="9"/>
        <v>Springfield city</v>
      </c>
      <c r="K283" s="1">
        <f>IF(COUNTIF($I$5:I283,I283)=1,1,0)</f>
        <v>0</v>
      </c>
    </row>
    <row r="284" spans="1:11" x14ac:dyDescent="0.2">
      <c r="A284" s="9">
        <v>280</v>
      </c>
      <c r="B284" s="5" t="s">
        <v>279</v>
      </c>
      <c r="C284" s="6">
        <v>115149</v>
      </c>
      <c r="D284" s="6">
        <v>114879</v>
      </c>
      <c r="E284" s="6">
        <v>113642</v>
      </c>
      <c r="F284" s="6">
        <v>112516</v>
      </c>
      <c r="G284" s="6">
        <v>112616</v>
      </c>
      <c r="H284" s="6">
        <v>112893</v>
      </c>
      <c r="I284" s="1" t="str">
        <f t="shared" si="8"/>
        <v xml:space="preserve"> Texas</v>
      </c>
      <c r="J284" s="1" t="str">
        <f t="shared" si="9"/>
        <v>Beaumont city</v>
      </c>
      <c r="K284" s="1">
        <f>IF(COUNTIF($I$5:I284,I284)=1,1,0)</f>
        <v>0</v>
      </c>
    </row>
    <row r="285" spans="1:11" x14ac:dyDescent="0.2">
      <c r="A285" s="9">
        <v>281</v>
      </c>
      <c r="B285" s="5" t="s">
        <v>280</v>
      </c>
      <c r="C285" s="6">
        <v>110955</v>
      </c>
      <c r="D285" s="6">
        <v>111142</v>
      </c>
      <c r="E285" s="6">
        <v>112186</v>
      </c>
      <c r="F285" s="6">
        <v>112199</v>
      </c>
      <c r="G285" s="6">
        <v>112270</v>
      </c>
      <c r="H285" s="6">
        <v>112539</v>
      </c>
      <c r="I285" s="1" t="str">
        <f t="shared" si="8"/>
        <v xml:space="preserve"> California</v>
      </c>
      <c r="J285" s="1" t="str">
        <f t="shared" si="9"/>
        <v>Murrieta city</v>
      </c>
      <c r="K285" s="1">
        <f>IF(COUNTIF($I$5:I285,I285)=1,1,0)</f>
        <v>0</v>
      </c>
    </row>
    <row r="286" spans="1:11" x14ac:dyDescent="0.2">
      <c r="A286" s="9">
        <v>282</v>
      </c>
      <c r="B286" s="5" t="s">
        <v>281</v>
      </c>
      <c r="C286" s="6">
        <v>104047</v>
      </c>
      <c r="D286" s="6">
        <v>104441</v>
      </c>
      <c r="E286" s="6">
        <v>106309</v>
      </c>
      <c r="F286" s="6">
        <v>108685</v>
      </c>
      <c r="G286" s="6">
        <v>110656</v>
      </c>
      <c r="H286" s="6">
        <v>112524</v>
      </c>
      <c r="I286" s="1" t="str">
        <f t="shared" si="8"/>
        <v xml:space="preserve"> New Mexico</v>
      </c>
      <c r="J286" s="1" t="str">
        <f t="shared" si="9"/>
        <v>Rio Rancho city</v>
      </c>
      <c r="K286" s="1">
        <f>IF(COUNTIF($I$5:I286,I286)=1,1,0)</f>
        <v>0</v>
      </c>
    </row>
    <row r="287" spans="1:11" x14ac:dyDescent="0.2">
      <c r="A287" s="9">
        <v>283</v>
      </c>
      <c r="B287" s="5" t="s">
        <v>282</v>
      </c>
      <c r="C287" s="6">
        <v>109990</v>
      </c>
      <c r="D287" s="6">
        <v>110084</v>
      </c>
      <c r="E287" s="6">
        <v>110948</v>
      </c>
      <c r="F287" s="6">
        <v>110952</v>
      </c>
      <c r="G287" s="6">
        <v>111413</v>
      </c>
      <c r="H287" s="6">
        <v>112431</v>
      </c>
      <c r="I287" s="1" t="str">
        <f t="shared" si="8"/>
        <v xml:space="preserve"> California</v>
      </c>
      <c r="J287" s="1" t="str">
        <f t="shared" si="9"/>
        <v>Temecula city</v>
      </c>
      <c r="K287" s="1">
        <f>IF(COUNTIF($I$5:I287,I287)=1,1,0)</f>
        <v>0</v>
      </c>
    </row>
    <row r="288" spans="1:11" x14ac:dyDescent="0.2">
      <c r="A288" s="9">
        <v>284</v>
      </c>
      <c r="B288" s="5" t="s">
        <v>283</v>
      </c>
      <c r="C288" s="6">
        <v>105329</v>
      </c>
      <c r="D288" s="6">
        <v>104913</v>
      </c>
      <c r="E288" s="6">
        <v>107051</v>
      </c>
      <c r="F288" s="6">
        <v>108795</v>
      </c>
      <c r="G288" s="6">
        <v>110401</v>
      </c>
      <c r="H288" s="6">
        <v>112395</v>
      </c>
      <c r="I288" s="1" t="str">
        <f t="shared" si="8"/>
        <v xml:space="preserve"> North Carolina</v>
      </c>
      <c r="J288" s="1" t="str">
        <f t="shared" si="9"/>
        <v>Concord city</v>
      </c>
      <c r="K288" s="1">
        <f>IF(COUNTIF($I$5:I288,I288)=1,1,0)</f>
        <v>0</v>
      </c>
    </row>
    <row r="289" spans="1:11" x14ac:dyDescent="0.2">
      <c r="A289" s="9">
        <v>285</v>
      </c>
      <c r="B289" s="5" t="s">
        <v>284</v>
      </c>
      <c r="C289" s="6">
        <v>105972</v>
      </c>
      <c r="D289" s="6">
        <v>106269</v>
      </c>
      <c r="E289" s="6">
        <v>107399</v>
      </c>
      <c r="F289" s="6">
        <v>109491</v>
      </c>
      <c r="G289" s="6">
        <v>110731</v>
      </c>
      <c r="H289" s="6">
        <v>112219</v>
      </c>
      <c r="I289" s="1" t="str">
        <f t="shared" si="8"/>
        <v xml:space="preserve"> Texas</v>
      </c>
      <c r="J289" s="1" t="str">
        <f t="shared" si="9"/>
        <v>Tyler city</v>
      </c>
      <c r="K289" s="1">
        <f>IF(COUNTIF($I$5:I289,I289)=1,1,0)</f>
        <v>0</v>
      </c>
    </row>
    <row r="290" spans="1:11" x14ac:dyDescent="0.2">
      <c r="A290" s="9">
        <v>286</v>
      </c>
      <c r="B290" s="5" t="s">
        <v>285</v>
      </c>
      <c r="C290" s="6">
        <v>105705</v>
      </c>
      <c r="D290" s="6">
        <v>106032</v>
      </c>
      <c r="E290" s="6">
        <v>105898</v>
      </c>
      <c r="F290" s="6">
        <v>107745</v>
      </c>
      <c r="G290" s="6">
        <v>110056</v>
      </c>
      <c r="H290" s="6">
        <v>112052</v>
      </c>
      <c r="I290" s="1" t="str">
        <f t="shared" si="8"/>
        <v xml:space="preserve"> Florida</v>
      </c>
      <c r="J290" s="1" t="str">
        <f t="shared" si="9"/>
        <v>Davie town</v>
      </c>
      <c r="K290" s="1">
        <f>IF(COUNTIF($I$5:I290,I290)=1,1,0)</f>
        <v>0</v>
      </c>
    </row>
    <row r="291" spans="1:11" x14ac:dyDescent="0.2">
      <c r="A291" s="9">
        <v>287</v>
      </c>
      <c r="B291" s="5" t="s">
        <v>286</v>
      </c>
      <c r="C291" s="6">
        <v>108074</v>
      </c>
      <c r="D291" s="6">
        <v>108241</v>
      </c>
      <c r="E291" s="6">
        <v>109339</v>
      </c>
      <c r="F291" s="6">
        <v>111355</v>
      </c>
      <c r="G291" s="6">
        <v>111473</v>
      </c>
      <c r="H291" s="6">
        <v>112003</v>
      </c>
      <c r="I291" s="1" t="str">
        <f t="shared" si="8"/>
        <v xml:space="preserve"> Georgia</v>
      </c>
      <c r="J291" s="1" t="str">
        <f t="shared" si="9"/>
        <v>South Fulton city</v>
      </c>
      <c r="K291" s="1">
        <f>IF(COUNTIF($I$5:I291,I291)=1,1,0)</f>
        <v>0</v>
      </c>
    </row>
    <row r="292" spans="1:11" x14ac:dyDescent="0.2">
      <c r="A292" s="9">
        <v>288</v>
      </c>
      <c r="B292" s="5" t="s">
        <v>287</v>
      </c>
      <c r="C292" s="6">
        <v>113264</v>
      </c>
      <c r="D292" s="6">
        <v>112942</v>
      </c>
      <c r="E292" s="6">
        <v>111893</v>
      </c>
      <c r="F292" s="6">
        <v>111066</v>
      </c>
      <c r="G292" s="6">
        <v>111195</v>
      </c>
      <c r="H292" s="6">
        <v>111696</v>
      </c>
      <c r="I292" s="1" t="str">
        <f t="shared" si="8"/>
        <v xml:space="preserve"> Illinois</v>
      </c>
      <c r="J292" s="1" t="str">
        <f t="shared" si="9"/>
        <v>Peoria city</v>
      </c>
      <c r="K292" s="1">
        <f>IF(COUNTIF($I$5:I292,I292)=1,1,0)</f>
        <v>0</v>
      </c>
    </row>
    <row r="293" spans="1:11" x14ac:dyDescent="0.2">
      <c r="A293" s="9">
        <v>289</v>
      </c>
      <c r="B293" s="5" t="s">
        <v>288</v>
      </c>
      <c r="C293" s="6">
        <v>108459</v>
      </c>
      <c r="D293" s="6">
        <v>108886</v>
      </c>
      <c r="E293" s="6">
        <v>109703</v>
      </c>
      <c r="F293" s="6">
        <v>109163</v>
      </c>
      <c r="G293" s="6">
        <v>110771</v>
      </c>
      <c r="H293" s="6">
        <v>111520</v>
      </c>
      <c r="I293" s="1" t="str">
        <f t="shared" si="8"/>
        <v xml:space="preserve"> Nevada</v>
      </c>
      <c r="J293" s="1" t="str">
        <f t="shared" si="9"/>
        <v>Sparks city</v>
      </c>
      <c r="K293" s="1">
        <f>IF(COUNTIF($I$5:I293,I293)=1,1,0)</f>
        <v>0</v>
      </c>
    </row>
    <row r="294" spans="1:11" x14ac:dyDescent="0.2">
      <c r="A294" s="9">
        <v>290</v>
      </c>
      <c r="B294" s="5" t="s">
        <v>289</v>
      </c>
      <c r="C294" s="6">
        <v>114265</v>
      </c>
      <c r="D294" s="6">
        <v>114490</v>
      </c>
      <c r="E294" s="6">
        <v>113137</v>
      </c>
      <c r="F294" s="6">
        <v>111527</v>
      </c>
      <c r="G294" s="6">
        <v>111144</v>
      </c>
      <c r="H294" s="6">
        <v>111507</v>
      </c>
      <c r="I294" s="1" t="str">
        <f t="shared" si="8"/>
        <v xml:space="preserve"> Oregon</v>
      </c>
      <c r="J294" s="1" t="str">
        <f t="shared" si="9"/>
        <v>Gresham city</v>
      </c>
      <c r="K294" s="1">
        <f>IF(COUNTIF($I$5:I294,I294)=1,1,0)</f>
        <v>0</v>
      </c>
    </row>
    <row r="295" spans="1:11" x14ac:dyDescent="0.2">
      <c r="A295" s="9">
        <v>291</v>
      </c>
      <c r="B295" s="5" t="s">
        <v>290</v>
      </c>
      <c r="C295" s="6">
        <v>109694</v>
      </c>
      <c r="D295" s="6">
        <v>109782</v>
      </c>
      <c r="E295" s="6">
        <v>110072</v>
      </c>
      <c r="F295" s="6">
        <v>110385</v>
      </c>
      <c r="G295" s="6">
        <v>110641</v>
      </c>
      <c r="H295" s="6">
        <v>111346</v>
      </c>
      <c r="I295" s="1" t="str">
        <f t="shared" si="8"/>
        <v xml:space="preserve"> California</v>
      </c>
      <c r="J295" s="1" t="str">
        <f t="shared" si="9"/>
        <v>Santa Maria city</v>
      </c>
      <c r="K295" s="1">
        <f>IF(COUNTIF($I$5:I295,I295)=1,1,0)</f>
        <v>0</v>
      </c>
    </row>
    <row r="296" spans="1:11" x14ac:dyDescent="0.2">
      <c r="A296" s="9">
        <v>292</v>
      </c>
      <c r="B296" s="5" t="s">
        <v>291</v>
      </c>
      <c r="C296" s="6">
        <v>111868</v>
      </c>
      <c r="D296" s="6">
        <v>111910</v>
      </c>
      <c r="E296" s="6">
        <v>112006</v>
      </c>
      <c r="F296" s="6">
        <v>111428</v>
      </c>
      <c r="G296" s="6">
        <v>111295</v>
      </c>
      <c r="H296" s="6">
        <v>111166</v>
      </c>
      <c r="I296" s="1" t="str">
        <f t="shared" si="8"/>
        <v xml:space="preserve"> Colorado</v>
      </c>
      <c r="J296" s="1" t="str">
        <f t="shared" si="9"/>
        <v>Pueblo city</v>
      </c>
      <c r="K296" s="1">
        <f>IF(COUNTIF($I$5:I296,I296)=1,1,0)</f>
        <v>0</v>
      </c>
    </row>
    <row r="297" spans="1:11" x14ac:dyDescent="0.2">
      <c r="A297" s="9">
        <v>293</v>
      </c>
      <c r="B297" s="5" t="s">
        <v>292</v>
      </c>
      <c r="C297" s="6">
        <v>106492</v>
      </c>
      <c r="D297" s="6">
        <v>107084</v>
      </c>
      <c r="E297" s="6">
        <v>107065</v>
      </c>
      <c r="F297" s="6">
        <v>107495</v>
      </c>
      <c r="G297" s="6">
        <v>109052</v>
      </c>
      <c r="H297" s="6">
        <v>110337</v>
      </c>
      <c r="I297" s="1" t="str">
        <f t="shared" si="8"/>
        <v xml:space="preserve"> Oregon</v>
      </c>
      <c r="J297" s="1" t="str">
        <f t="shared" si="9"/>
        <v>Hillsboro city</v>
      </c>
      <c r="K297" s="1">
        <f>IF(COUNTIF($I$5:I297,I297)=1,1,0)</f>
        <v>0</v>
      </c>
    </row>
    <row r="298" spans="1:11" x14ac:dyDescent="0.2">
      <c r="A298" s="9">
        <v>294</v>
      </c>
      <c r="B298" s="5" t="s">
        <v>293</v>
      </c>
      <c r="C298" s="6">
        <v>111040</v>
      </c>
      <c r="D298" s="6">
        <v>110844</v>
      </c>
      <c r="E298" s="6">
        <v>109683</v>
      </c>
      <c r="F298" s="6">
        <v>110001</v>
      </c>
      <c r="G298" s="6">
        <v>109801</v>
      </c>
      <c r="H298" s="6">
        <v>109851</v>
      </c>
      <c r="I298" s="1" t="str">
        <f t="shared" si="8"/>
        <v xml:space="preserve"> Texas</v>
      </c>
      <c r="J298" s="1" t="str">
        <f t="shared" si="9"/>
        <v>Sugar Land city</v>
      </c>
      <c r="K298" s="1">
        <f>IF(COUNTIF($I$5:I298,I298)=1,1,0)</f>
        <v>0</v>
      </c>
    </row>
    <row r="299" spans="1:11" x14ac:dyDescent="0.2">
      <c r="A299" s="9">
        <v>295</v>
      </c>
      <c r="B299" s="5" t="s">
        <v>294</v>
      </c>
      <c r="C299" s="6">
        <v>110754</v>
      </c>
      <c r="D299" s="6">
        <v>110632</v>
      </c>
      <c r="E299" s="6">
        <v>109991</v>
      </c>
      <c r="F299" s="6">
        <v>109374</v>
      </c>
      <c r="G299" s="6">
        <v>109473</v>
      </c>
      <c r="H299" s="6">
        <v>109831</v>
      </c>
      <c r="I299" s="1" t="str">
        <f t="shared" si="8"/>
        <v xml:space="preserve"> California</v>
      </c>
      <c r="J299" s="1" t="str">
        <f t="shared" si="9"/>
        <v>San Buenaventura (Ventura) city</v>
      </c>
      <c r="K299" s="1">
        <f>IF(COUNTIF($I$5:I299,I299)=1,1,0)</f>
        <v>0</v>
      </c>
    </row>
    <row r="300" spans="1:11" x14ac:dyDescent="0.2">
      <c r="A300" s="9">
        <v>296</v>
      </c>
      <c r="B300" s="5" t="s">
        <v>295</v>
      </c>
      <c r="C300" s="6">
        <v>114351</v>
      </c>
      <c r="D300" s="6">
        <v>113966</v>
      </c>
      <c r="E300" s="6">
        <v>111568</v>
      </c>
      <c r="F300" s="6">
        <v>110244</v>
      </c>
      <c r="G300" s="6">
        <v>109553</v>
      </c>
      <c r="H300" s="6">
        <v>109368</v>
      </c>
      <c r="I300" s="1" t="str">
        <f t="shared" si="8"/>
        <v xml:space="preserve"> California</v>
      </c>
      <c r="J300" s="1" t="str">
        <f t="shared" si="9"/>
        <v>Downey city</v>
      </c>
      <c r="K300" s="1">
        <f>IF(COUNTIF($I$5:I300,I300)=1,1,0)</f>
        <v>0</v>
      </c>
    </row>
    <row r="301" spans="1:11" x14ac:dyDescent="0.2">
      <c r="A301" s="9">
        <v>297</v>
      </c>
      <c r="B301" s="5" t="s">
        <v>296</v>
      </c>
      <c r="C301" s="6">
        <v>112187</v>
      </c>
      <c r="D301" s="6">
        <v>112050</v>
      </c>
      <c r="E301" s="6">
        <v>111043</v>
      </c>
      <c r="F301" s="6">
        <v>110111</v>
      </c>
      <c r="G301" s="6">
        <v>109302</v>
      </c>
      <c r="H301" s="6">
        <v>109131</v>
      </c>
      <c r="I301" s="1" t="str">
        <f t="shared" si="8"/>
        <v xml:space="preserve"> California</v>
      </c>
      <c r="J301" s="1" t="str">
        <f t="shared" si="9"/>
        <v>Costa Mesa city</v>
      </c>
      <c r="K301" s="1">
        <f>IF(COUNTIF($I$5:I301,I301)=1,1,0)</f>
        <v>0</v>
      </c>
    </row>
    <row r="302" spans="1:11" x14ac:dyDescent="0.2">
      <c r="A302" s="9">
        <v>298</v>
      </c>
      <c r="B302" s="5" t="s">
        <v>297</v>
      </c>
      <c r="C302" s="6">
        <v>108425</v>
      </c>
      <c r="D302" s="6">
        <v>108202</v>
      </c>
      <c r="E302" s="6">
        <v>107402</v>
      </c>
      <c r="F302" s="6">
        <v>107508</v>
      </c>
      <c r="G302" s="6">
        <v>109063</v>
      </c>
      <c r="H302" s="6">
        <v>108853</v>
      </c>
      <c r="I302" s="1" t="str">
        <f t="shared" si="8"/>
        <v xml:space="preserve"> Colorado</v>
      </c>
      <c r="J302" s="1" t="str">
        <f t="shared" si="9"/>
        <v>Centennial city</v>
      </c>
      <c r="K302" s="1">
        <f>IF(COUNTIF($I$5:I302,I302)=1,1,0)</f>
        <v>0</v>
      </c>
    </row>
    <row r="303" spans="1:11" x14ac:dyDescent="0.2">
      <c r="A303" s="9">
        <v>299</v>
      </c>
      <c r="B303" s="5" t="s">
        <v>298</v>
      </c>
      <c r="C303" s="6">
        <v>100316</v>
      </c>
      <c r="D303" s="6">
        <v>100767</v>
      </c>
      <c r="E303" s="6">
        <v>102949</v>
      </c>
      <c r="F303" s="6">
        <v>104280</v>
      </c>
      <c r="G303" s="6">
        <v>105956</v>
      </c>
      <c r="H303" s="6">
        <v>108733</v>
      </c>
      <c r="I303" s="1" t="str">
        <f t="shared" si="8"/>
        <v xml:space="preserve"> Texas</v>
      </c>
      <c r="J303" s="1" t="str">
        <f t="shared" si="9"/>
        <v>Edinburg city</v>
      </c>
      <c r="K303" s="1">
        <f>IF(COUNTIF($I$5:I303,I303)=1,1,0)</f>
        <v>0</v>
      </c>
    </row>
    <row r="304" spans="1:11" x14ac:dyDescent="0.2">
      <c r="A304" s="9">
        <v>300</v>
      </c>
      <c r="B304" s="5" t="s">
        <v>299</v>
      </c>
      <c r="C304" s="6">
        <v>103094</v>
      </c>
      <c r="D304" s="6">
        <v>103647</v>
      </c>
      <c r="E304" s="6">
        <v>105443</v>
      </c>
      <c r="F304" s="6">
        <v>106768</v>
      </c>
      <c r="G304" s="6">
        <v>107665</v>
      </c>
      <c r="H304" s="6">
        <v>108267</v>
      </c>
      <c r="I304" s="1" t="str">
        <f t="shared" si="8"/>
        <v xml:space="preserve"> Washington</v>
      </c>
      <c r="J304" s="1" t="str">
        <f t="shared" si="9"/>
        <v>Spokane Valley city</v>
      </c>
      <c r="K304" s="1">
        <f>IF(COUNTIF($I$5:I304,I304)=1,1,0)</f>
        <v>0</v>
      </c>
    </row>
    <row r="305" spans="1:11" x14ac:dyDescent="0.2">
      <c r="A305" s="9">
        <v>301</v>
      </c>
      <c r="B305" s="5" t="s">
        <v>300</v>
      </c>
      <c r="C305" s="6">
        <v>105053</v>
      </c>
      <c r="D305" s="6">
        <v>105356</v>
      </c>
      <c r="E305" s="6">
        <v>106758</v>
      </c>
      <c r="F305" s="6">
        <v>107190</v>
      </c>
      <c r="G305" s="6">
        <v>107591</v>
      </c>
      <c r="H305" s="6">
        <v>108154</v>
      </c>
      <c r="I305" s="1" t="str">
        <f t="shared" si="8"/>
        <v xml:space="preserve"> California</v>
      </c>
      <c r="J305" s="1" t="str">
        <f t="shared" si="9"/>
        <v>Jurupa Valley city</v>
      </c>
      <c r="K305" s="1">
        <f>IF(COUNTIF($I$5:I305,I305)=1,1,0)</f>
        <v>0</v>
      </c>
    </row>
    <row r="306" spans="1:11" x14ac:dyDescent="0.2">
      <c r="A306" s="9">
        <v>302</v>
      </c>
      <c r="B306" s="5" t="s">
        <v>301</v>
      </c>
      <c r="C306" s="6">
        <v>99221</v>
      </c>
      <c r="D306" s="6">
        <v>99687</v>
      </c>
      <c r="E306" s="6">
        <v>102412</v>
      </c>
      <c r="F306" s="6">
        <v>103208</v>
      </c>
      <c r="G306" s="6">
        <v>104707</v>
      </c>
      <c r="H306" s="6">
        <v>106926</v>
      </c>
      <c r="I306" s="1" t="str">
        <f t="shared" si="8"/>
        <v xml:space="preserve"> Oregon</v>
      </c>
      <c r="J306" s="1" t="str">
        <f t="shared" si="9"/>
        <v>Bend city</v>
      </c>
      <c r="K306" s="1">
        <f>IF(COUNTIF($I$5:I306,I306)=1,1,0)</f>
        <v>0</v>
      </c>
    </row>
    <row r="307" spans="1:11" x14ac:dyDescent="0.2">
      <c r="A307" s="9">
        <v>303</v>
      </c>
      <c r="B307" s="5" t="s">
        <v>302</v>
      </c>
      <c r="C307" s="6">
        <v>109500</v>
      </c>
      <c r="D307" s="6">
        <v>109155</v>
      </c>
      <c r="E307" s="6">
        <v>106860</v>
      </c>
      <c r="F307" s="6">
        <v>106020</v>
      </c>
      <c r="G307" s="6">
        <v>106266</v>
      </c>
      <c r="H307" s="6">
        <v>106920</v>
      </c>
      <c r="I307" s="1" t="str">
        <f t="shared" si="8"/>
        <v xml:space="preserve"> California</v>
      </c>
      <c r="J307" s="1" t="str">
        <f t="shared" si="9"/>
        <v>West Covina city</v>
      </c>
      <c r="K307" s="1">
        <f>IF(COUNTIF($I$5:I307,I307)=1,1,0)</f>
        <v>0</v>
      </c>
    </row>
    <row r="308" spans="1:11" x14ac:dyDescent="0.2">
      <c r="A308" s="9">
        <v>304</v>
      </c>
      <c r="B308" s="5" t="s">
        <v>303</v>
      </c>
      <c r="C308" s="6">
        <v>108556</v>
      </c>
      <c r="D308" s="6">
        <v>108418</v>
      </c>
      <c r="E308" s="6">
        <v>104316</v>
      </c>
      <c r="F308" s="6">
        <v>106079</v>
      </c>
      <c r="G308" s="6">
        <v>106634</v>
      </c>
      <c r="H308" s="6">
        <v>106803</v>
      </c>
      <c r="I308" s="1" t="str">
        <f t="shared" si="8"/>
        <v xml:space="preserve"> Colorado</v>
      </c>
      <c r="J308" s="1" t="str">
        <f t="shared" si="9"/>
        <v>Boulder city</v>
      </c>
      <c r="K308" s="1">
        <f>IF(COUNTIF($I$5:I308,I308)=1,1,0)</f>
        <v>0</v>
      </c>
    </row>
    <row r="309" spans="1:11" x14ac:dyDescent="0.2">
      <c r="A309" s="9">
        <v>305</v>
      </c>
      <c r="B309" s="5" t="s">
        <v>304</v>
      </c>
      <c r="C309" s="6">
        <v>89230</v>
      </c>
      <c r="D309" s="6">
        <v>89721</v>
      </c>
      <c r="E309" s="6">
        <v>93802</v>
      </c>
      <c r="F309" s="6">
        <v>98604</v>
      </c>
      <c r="G309" s="6">
        <v>102450</v>
      </c>
      <c r="H309" s="6">
        <v>106729</v>
      </c>
      <c r="I309" s="1" t="str">
        <f t="shared" si="8"/>
        <v xml:space="preserve"> Florida</v>
      </c>
      <c r="J309" s="1" t="str">
        <f t="shared" si="9"/>
        <v>Palm Coast city</v>
      </c>
      <c r="K309" s="1">
        <f>IF(COUNTIF($I$5:I309,I309)=1,1,0)</f>
        <v>0</v>
      </c>
    </row>
    <row r="310" spans="1:11" x14ac:dyDescent="0.2">
      <c r="A310" s="9">
        <v>306</v>
      </c>
      <c r="B310" s="5" t="s">
        <v>305</v>
      </c>
      <c r="C310" s="6">
        <v>101122</v>
      </c>
      <c r="D310" s="6">
        <v>101572</v>
      </c>
      <c r="E310" s="6">
        <v>102838</v>
      </c>
      <c r="F310" s="6">
        <v>103293</v>
      </c>
      <c r="G310" s="6">
        <v>104263</v>
      </c>
      <c r="H310" s="6">
        <v>106419</v>
      </c>
      <c r="I310" s="1" t="str">
        <f t="shared" si="8"/>
        <v xml:space="preserve"> Missouri</v>
      </c>
      <c r="J310" s="1" t="str">
        <f t="shared" si="9"/>
        <v>Lee's Summit city</v>
      </c>
      <c r="K310" s="1">
        <f>IF(COUNTIF($I$5:I310,I310)=1,1,0)</f>
        <v>0</v>
      </c>
    </row>
    <row r="311" spans="1:11" x14ac:dyDescent="0.2">
      <c r="A311" s="9">
        <v>307</v>
      </c>
      <c r="B311" s="5" t="s">
        <v>306</v>
      </c>
      <c r="C311" s="6">
        <v>109956</v>
      </c>
      <c r="D311" s="6">
        <v>109555</v>
      </c>
      <c r="E311" s="6">
        <v>108226</v>
      </c>
      <c r="F311" s="6">
        <v>106748</v>
      </c>
      <c r="G311" s="6">
        <v>106245</v>
      </c>
      <c r="H311" s="6">
        <v>106377</v>
      </c>
      <c r="I311" s="1" t="str">
        <f t="shared" si="8"/>
        <v xml:space="preserve"> Michigan</v>
      </c>
      <c r="J311" s="1" t="str">
        <f t="shared" si="9"/>
        <v>Dearborn city</v>
      </c>
      <c r="K311" s="1">
        <f>IF(COUNTIF($I$5:I311,I311)=1,1,0)</f>
        <v>0</v>
      </c>
    </row>
    <row r="312" spans="1:11" x14ac:dyDescent="0.2">
      <c r="A312" s="9">
        <v>308</v>
      </c>
      <c r="B312" s="5" t="s">
        <v>307</v>
      </c>
      <c r="C312" s="6">
        <v>107365</v>
      </c>
      <c r="D312" s="6">
        <v>107299</v>
      </c>
      <c r="E312" s="6">
        <v>105586</v>
      </c>
      <c r="F312" s="6">
        <v>105727</v>
      </c>
      <c r="G312" s="6">
        <v>106210</v>
      </c>
      <c r="H312" s="6">
        <v>106311</v>
      </c>
      <c r="I312" s="1" t="str">
        <f t="shared" si="8"/>
        <v xml:space="preserve"> Wisconsin</v>
      </c>
      <c r="J312" s="1" t="str">
        <f t="shared" si="9"/>
        <v>Green Bay city</v>
      </c>
      <c r="K312" s="1">
        <f>IF(COUNTIF($I$5:I312,I312)=1,1,0)</f>
        <v>0</v>
      </c>
    </row>
    <row r="313" spans="1:11" x14ac:dyDescent="0.2">
      <c r="A313" s="9">
        <v>309</v>
      </c>
      <c r="B313" s="5" t="s">
        <v>308</v>
      </c>
      <c r="C313" s="6">
        <v>95353</v>
      </c>
      <c r="D313" s="6">
        <v>96050</v>
      </c>
      <c r="E313" s="6">
        <v>100241</v>
      </c>
      <c r="F313" s="6">
        <v>102673</v>
      </c>
      <c r="G313" s="6">
        <v>104732</v>
      </c>
      <c r="H313" s="6">
        <v>106288</v>
      </c>
      <c r="I313" s="1" t="str">
        <f t="shared" si="8"/>
        <v xml:space="preserve"> Utah</v>
      </c>
      <c r="J313" s="1" t="str">
        <f t="shared" si="9"/>
        <v>St. George city</v>
      </c>
      <c r="K313" s="1">
        <f>IF(COUNTIF($I$5:I313,I313)=1,1,0)</f>
        <v>0</v>
      </c>
    </row>
    <row r="314" spans="1:11" x14ac:dyDescent="0.2">
      <c r="A314" s="9">
        <v>310</v>
      </c>
      <c r="B314" s="5" t="s">
        <v>309</v>
      </c>
      <c r="C314" s="6">
        <v>105654</v>
      </c>
      <c r="D314" s="6">
        <v>105485</v>
      </c>
      <c r="E314" s="6">
        <v>105413</v>
      </c>
      <c r="F314" s="6">
        <v>105029</v>
      </c>
      <c r="G314" s="6">
        <v>105236</v>
      </c>
      <c r="H314" s="6">
        <v>105788</v>
      </c>
      <c r="I314" s="1" t="str">
        <f t="shared" si="8"/>
        <v xml:space="preserve"> Massachusetts</v>
      </c>
      <c r="J314" s="1" t="str">
        <f t="shared" si="9"/>
        <v>Brockton city</v>
      </c>
      <c r="K314" s="1">
        <f>IF(COUNTIF($I$5:I314,I314)=1,1,0)</f>
        <v>0</v>
      </c>
    </row>
    <row r="315" spans="1:11" x14ac:dyDescent="0.2">
      <c r="A315" s="9">
        <v>311</v>
      </c>
      <c r="B315" s="5" t="s">
        <v>310</v>
      </c>
      <c r="C315" s="6">
        <v>106849</v>
      </c>
      <c r="D315" s="6">
        <v>106734</v>
      </c>
      <c r="E315" s="6">
        <v>105302</v>
      </c>
      <c r="F315" s="6">
        <v>104405</v>
      </c>
      <c r="G315" s="6">
        <v>104551</v>
      </c>
      <c r="H315" s="6">
        <v>105543</v>
      </c>
      <c r="I315" s="1" t="str">
        <f t="shared" si="8"/>
        <v xml:space="preserve"> Washington</v>
      </c>
      <c r="J315" s="1" t="str">
        <f t="shared" si="9"/>
        <v>Renton city</v>
      </c>
      <c r="K315" s="1">
        <f>IF(COUNTIF($I$5:I315,I315)=1,1,0)</f>
        <v>0</v>
      </c>
    </row>
    <row r="316" spans="1:11" x14ac:dyDescent="0.2">
      <c r="A316" s="9">
        <v>312</v>
      </c>
      <c r="B316" s="5" t="s">
        <v>311</v>
      </c>
      <c r="C316" s="6">
        <v>108106</v>
      </c>
      <c r="D316" s="6">
        <v>108212</v>
      </c>
      <c r="E316" s="6">
        <v>107361</v>
      </c>
      <c r="F316" s="6">
        <v>107976</v>
      </c>
      <c r="G316" s="6">
        <v>106337</v>
      </c>
      <c r="H316" s="6">
        <v>105505</v>
      </c>
      <c r="I316" s="1" t="str">
        <f t="shared" si="8"/>
        <v xml:space="preserve"> Georgia</v>
      </c>
      <c r="J316" s="1" t="str">
        <f t="shared" si="9"/>
        <v>Sandy Springs city</v>
      </c>
      <c r="K316" s="1">
        <f>IF(COUNTIF($I$5:I316,I316)=1,1,0)</f>
        <v>0</v>
      </c>
    </row>
    <row r="317" spans="1:11" x14ac:dyDescent="0.2">
      <c r="A317" s="9">
        <v>313</v>
      </c>
      <c r="B317" s="5" t="s">
        <v>312</v>
      </c>
      <c r="C317" s="6">
        <v>103931</v>
      </c>
      <c r="D317" s="6">
        <v>103963</v>
      </c>
      <c r="E317" s="6">
        <v>104077</v>
      </c>
      <c r="F317" s="6">
        <v>103848</v>
      </c>
      <c r="G317" s="6">
        <v>103986</v>
      </c>
      <c r="H317" s="6">
        <v>104918</v>
      </c>
      <c r="I317" s="1" t="str">
        <f t="shared" si="8"/>
        <v xml:space="preserve"> California</v>
      </c>
      <c r="J317" s="1" t="str">
        <f t="shared" si="9"/>
        <v>Rialto city</v>
      </c>
      <c r="K317" s="1">
        <f>IF(COUNTIF($I$5:I317,I317)=1,1,0)</f>
        <v>0</v>
      </c>
    </row>
    <row r="318" spans="1:11" x14ac:dyDescent="0.2">
      <c r="A318" s="9">
        <v>314</v>
      </c>
      <c r="B318" s="5" t="s">
        <v>313</v>
      </c>
      <c r="C318" s="6">
        <v>109457</v>
      </c>
      <c r="D318" s="6">
        <v>109119</v>
      </c>
      <c r="E318" s="6">
        <v>106783</v>
      </c>
      <c r="F318" s="6">
        <v>105392</v>
      </c>
      <c r="G318" s="6">
        <v>104688</v>
      </c>
      <c r="H318" s="6">
        <v>104639</v>
      </c>
      <c r="I318" s="1" t="str">
        <f t="shared" si="8"/>
        <v xml:space="preserve"> California</v>
      </c>
      <c r="J318" s="1" t="str">
        <f t="shared" si="9"/>
        <v>El Monte city</v>
      </c>
      <c r="K318" s="1">
        <f>IF(COUNTIF($I$5:I318,I318)=1,1,0)</f>
        <v>0</v>
      </c>
    </row>
    <row r="319" spans="1:11" x14ac:dyDescent="0.2">
      <c r="A319" s="9">
        <v>315</v>
      </c>
      <c r="B319" s="5" t="s">
        <v>314</v>
      </c>
      <c r="C319" s="6">
        <v>102388</v>
      </c>
      <c r="D319" s="6">
        <v>102147</v>
      </c>
      <c r="E319" s="6">
        <v>101967</v>
      </c>
      <c r="F319" s="6">
        <v>102074</v>
      </c>
      <c r="G319" s="6">
        <v>102829</v>
      </c>
      <c r="H319" s="6">
        <v>103994</v>
      </c>
      <c r="I319" s="1" t="str">
        <f t="shared" si="8"/>
        <v xml:space="preserve"> California</v>
      </c>
      <c r="J319" s="1" t="str">
        <f t="shared" si="9"/>
        <v>Vacaville city</v>
      </c>
      <c r="K319" s="1">
        <f>IF(COUNTIF($I$5:I319,I319)=1,1,0)</f>
        <v>0</v>
      </c>
    </row>
    <row r="320" spans="1:11" x14ac:dyDescent="0.2">
      <c r="A320" s="9">
        <v>316</v>
      </c>
      <c r="B320" s="5" t="s">
        <v>315</v>
      </c>
      <c r="C320" s="6">
        <v>99065</v>
      </c>
      <c r="D320" s="6">
        <v>99502</v>
      </c>
      <c r="E320" s="6">
        <v>101478</v>
      </c>
      <c r="F320" s="6">
        <v>102398</v>
      </c>
      <c r="G320" s="6">
        <v>104381</v>
      </c>
      <c r="H320" s="6">
        <v>103986</v>
      </c>
      <c r="I320" s="1" t="str">
        <f t="shared" si="8"/>
        <v xml:space="preserve"> Indiana</v>
      </c>
      <c r="J320" s="1" t="str">
        <f t="shared" si="9"/>
        <v>Fishers city</v>
      </c>
      <c r="K320" s="1">
        <f>IF(COUNTIF($I$5:I320,I320)=1,1,0)</f>
        <v>0</v>
      </c>
    </row>
    <row r="321" spans="1:11" x14ac:dyDescent="0.2">
      <c r="A321" s="9">
        <v>317</v>
      </c>
      <c r="B321" s="5" t="s">
        <v>316</v>
      </c>
      <c r="C321" s="6">
        <v>103444</v>
      </c>
      <c r="D321" s="6">
        <v>103350</v>
      </c>
      <c r="E321" s="6">
        <v>103156</v>
      </c>
      <c r="F321" s="6">
        <v>103333</v>
      </c>
      <c r="G321" s="6">
        <v>103713</v>
      </c>
      <c r="H321" s="6">
        <v>103713</v>
      </c>
      <c r="I321" s="1" t="str">
        <f t="shared" si="8"/>
        <v xml:space="preserve"> Indiana</v>
      </c>
      <c r="J321" s="1" t="str">
        <f t="shared" si="9"/>
        <v>South Bend city</v>
      </c>
      <c r="K321" s="1">
        <f>IF(COUNTIF($I$5:I321,I321)=1,1,0)</f>
        <v>0</v>
      </c>
    </row>
    <row r="322" spans="1:11" x14ac:dyDescent="0.2">
      <c r="A322" s="9">
        <v>318</v>
      </c>
      <c r="B322" s="5" t="s">
        <v>317</v>
      </c>
      <c r="C322" s="6">
        <v>99750</v>
      </c>
      <c r="D322" s="6">
        <v>99907</v>
      </c>
      <c r="E322" s="6">
        <v>101066</v>
      </c>
      <c r="F322" s="6">
        <v>102363</v>
      </c>
      <c r="G322" s="6">
        <v>102576</v>
      </c>
      <c r="H322" s="6">
        <v>103606</v>
      </c>
      <c r="I322" s="1" t="str">
        <f t="shared" si="8"/>
        <v xml:space="preserve"> Indiana</v>
      </c>
      <c r="J322" s="1" t="str">
        <f t="shared" si="9"/>
        <v>Carmel city</v>
      </c>
      <c r="K322" s="1">
        <f>IF(COUNTIF($I$5:I322,I322)=1,1,0)</f>
        <v>0</v>
      </c>
    </row>
    <row r="323" spans="1:11" x14ac:dyDescent="0.2">
      <c r="A323" s="9">
        <v>319</v>
      </c>
      <c r="B323" s="5" t="s">
        <v>318</v>
      </c>
      <c r="C323" s="6">
        <v>97090</v>
      </c>
      <c r="D323" s="6">
        <v>97342</v>
      </c>
      <c r="E323" s="6">
        <v>98453</v>
      </c>
      <c r="F323" s="6">
        <v>99720</v>
      </c>
      <c r="G323" s="6">
        <v>101635</v>
      </c>
      <c r="H323" s="6">
        <v>103559</v>
      </c>
      <c r="I323" s="1" t="str">
        <f t="shared" si="8"/>
        <v xml:space="preserve"> Arizona</v>
      </c>
      <c r="J323" s="1" t="str">
        <f t="shared" si="9"/>
        <v>Yuma city</v>
      </c>
      <c r="K323" s="1">
        <f>IF(COUNTIF($I$5:I323,I323)=1,1,0)</f>
        <v>0</v>
      </c>
    </row>
    <row r="324" spans="1:11" x14ac:dyDescent="0.2">
      <c r="A324" s="9">
        <v>320</v>
      </c>
      <c r="B324" s="5" t="s">
        <v>319</v>
      </c>
      <c r="C324" s="6">
        <v>107334</v>
      </c>
      <c r="D324" s="6">
        <v>107012</v>
      </c>
      <c r="E324" s="6">
        <v>104888</v>
      </c>
      <c r="F324" s="6">
        <v>103839</v>
      </c>
      <c r="G324" s="6">
        <v>103448</v>
      </c>
      <c r="H324" s="6">
        <v>103533</v>
      </c>
      <c r="I324" s="1" t="str">
        <f t="shared" si="8"/>
        <v xml:space="preserve"> California</v>
      </c>
      <c r="J324" s="1" t="str">
        <f t="shared" si="9"/>
        <v>Burbank city</v>
      </c>
      <c r="K324" s="1">
        <f>IF(COUNTIF($I$5:I324,I324)=1,1,0)</f>
        <v>0</v>
      </c>
    </row>
    <row r="325" spans="1:11" x14ac:dyDescent="0.2">
      <c r="A325" s="9">
        <v>321</v>
      </c>
      <c r="B325" s="5" t="s">
        <v>320</v>
      </c>
      <c r="C325" s="6">
        <v>101261</v>
      </c>
      <c r="D325" s="6">
        <v>101073</v>
      </c>
      <c r="E325" s="6">
        <v>100921</v>
      </c>
      <c r="F325" s="6">
        <v>101210</v>
      </c>
      <c r="G325" s="6">
        <v>101868</v>
      </c>
      <c r="H325" s="6">
        <v>103489</v>
      </c>
      <c r="I325" s="1" t="str">
        <f t="shared" si="8"/>
        <v xml:space="preserve"> Massachusetts</v>
      </c>
      <c r="J325" s="1" t="str">
        <f t="shared" si="9"/>
        <v>Lynn city</v>
      </c>
      <c r="K325" s="1">
        <f>IF(COUNTIF($I$5:I325,I325)=1,1,0)</f>
        <v>0</v>
      </c>
    </row>
    <row r="326" spans="1:11" x14ac:dyDescent="0.2">
      <c r="A326" s="9">
        <v>322</v>
      </c>
      <c r="B326" s="5" t="s">
        <v>321</v>
      </c>
      <c r="C326" s="6">
        <v>101618</v>
      </c>
      <c r="D326" s="6">
        <v>101492</v>
      </c>
      <c r="E326" s="6">
        <v>101144</v>
      </c>
      <c r="F326" s="6">
        <v>102249</v>
      </c>
      <c r="G326" s="6">
        <v>102304</v>
      </c>
      <c r="H326" s="6">
        <v>103434</v>
      </c>
      <c r="I326" s="1" t="str">
        <f t="shared" ref="I326:I389" si="10">_xlfn.TEXTAFTER(B326,",")</f>
        <v xml:space="preserve"> Massachusetts</v>
      </c>
      <c r="J326" s="1" t="str">
        <f t="shared" ref="J326:J389" si="11">_xlfn.TEXTBEFORE(B326,", ")</f>
        <v>Quincy city</v>
      </c>
      <c r="K326" s="1">
        <f>IF(COUNTIF($I$5:I326,I326)=1,1,0)</f>
        <v>0</v>
      </c>
    </row>
    <row r="327" spans="1:11" x14ac:dyDescent="0.2">
      <c r="A327" s="9">
        <v>323</v>
      </c>
      <c r="B327" s="5" t="s">
        <v>322</v>
      </c>
      <c r="C327" s="6">
        <v>106193</v>
      </c>
      <c r="D327" s="6">
        <v>106087</v>
      </c>
      <c r="E327" s="6">
        <v>105095</v>
      </c>
      <c r="F327" s="6">
        <v>104184</v>
      </c>
      <c r="G327" s="6">
        <v>103522</v>
      </c>
      <c r="H327" s="6">
        <v>103291</v>
      </c>
      <c r="I327" s="1" t="str">
        <f t="shared" si="10"/>
        <v xml:space="preserve"> California</v>
      </c>
      <c r="J327" s="1" t="str">
        <f t="shared" si="11"/>
        <v>El Cajon city</v>
      </c>
      <c r="K327" s="1">
        <f>IF(COUNTIF($I$5:I327,I327)=1,1,0)</f>
        <v>0</v>
      </c>
    </row>
    <row r="328" spans="1:11" x14ac:dyDescent="0.2">
      <c r="A328" s="9">
        <v>324</v>
      </c>
      <c r="B328" s="5" t="s">
        <v>323</v>
      </c>
      <c r="C328" s="6">
        <v>94311</v>
      </c>
      <c r="D328" s="6">
        <v>94784</v>
      </c>
      <c r="E328" s="6">
        <v>97298</v>
      </c>
      <c r="F328" s="6">
        <v>99872</v>
      </c>
      <c r="G328" s="6">
        <v>101511</v>
      </c>
      <c r="H328" s="6">
        <v>103134</v>
      </c>
      <c r="I328" s="1" t="str">
        <f t="shared" si="10"/>
        <v xml:space="preserve"> Arkansas</v>
      </c>
      <c r="J328" s="1" t="str">
        <f t="shared" si="11"/>
        <v>Fayetteville city</v>
      </c>
      <c r="K328" s="1">
        <f>IF(COUNTIF($I$5:I328,I328)=1,1,0)</f>
        <v>0</v>
      </c>
    </row>
    <row r="329" spans="1:11" x14ac:dyDescent="0.2">
      <c r="A329" s="9">
        <v>325</v>
      </c>
      <c r="B329" s="5" t="s">
        <v>324</v>
      </c>
      <c r="C329" s="6">
        <v>94406</v>
      </c>
      <c r="D329" s="6">
        <v>94794</v>
      </c>
      <c r="E329" s="6">
        <v>96400</v>
      </c>
      <c r="F329" s="6">
        <v>98630</v>
      </c>
      <c r="G329" s="6">
        <v>101050</v>
      </c>
      <c r="H329" s="6">
        <v>103105</v>
      </c>
      <c r="I329" s="1" t="str">
        <f t="shared" si="10"/>
        <v xml:space="preserve"> Virginia</v>
      </c>
      <c r="J329" s="1" t="str">
        <f t="shared" si="11"/>
        <v>Suffolk city</v>
      </c>
      <c r="K329" s="1">
        <f>IF(COUNTIF($I$5:I329,I329)=1,1,0)</f>
        <v>0</v>
      </c>
    </row>
    <row r="330" spans="1:11" x14ac:dyDescent="0.2">
      <c r="A330" s="9">
        <v>326</v>
      </c>
      <c r="B330" s="5" t="s">
        <v>325</v>
      </c>
      <c r="C330" s="6">
        <v>105663</v>
      </c>
      <c r="D330" s="6">
        <v>105658</v>
      </c>
      <c r="E330" s="6">
        <v>102900</v>
      </c>
      <c r="F330" s="6">
        <v>101956</v>
      </c>
      <c r="G330" s="6">
        <v>102098</v>
      </c>
      <c r="H330" s="6">
        <v>103006</v>
      </c>
      <c r="I330" s="1" t="str">
        <f t="shared" si="10"/>
        <v xml:space="preserve"> California</v>
      </c>
      <c r="J330" s="1" t="str">
        <f t="shared" si="11"/>
        <v>San Mateo city</v>
      </c>
      <c r="K330" s="1">
        <f>IF(COUNTIF($I$5:I330,I330)=1,1,0)</f>
        <v>0</v>
      </c>
    </row>
    <row r="331" spans="1:11" x14ac:dyDescent="0.2">
      <c r="A331" s="9">
        <v>327</v>
      </c>
      <c r="B331" s="5" t="s">
        <v>326</v>
      </c>
      <c r="C331" s="6">
        <v>103830</v>
      </c>
      <c r="D331" s="6">
        <v>103289</v>
      </c>
      <c r="E331" s="6">
        <v>100615</v>
      </c>
      <c r="F331" s="6">
        <v>102061</v>
      </c>
      <c r="G331" s="6">
        <v>102146</v>
      </c>
      <c r="H331" s="6">
        <v>102911</v>
      </c>
      <c r="I331" s="1" t="str">
        <f t="shared" si="10"/>
        <v xml:space="preserve"> California</v>
      </c>
      <c r="J331" s="1" t="str">
        <f t="shared" si="11"/>
        <v>Chico city</v>
      </c>
      <c r="K331" s="1">
        <f>IF(COUNTIF($I$5:I331,I331)=1,1,0)</f>
        <v>0</v>
      </c>
    </row>
    <row r="332" spans="1:11" x14ac:dyDescent="0.2">
      <c r="A332" s="9">
        <v>328</v>
      </c>
      <c r="B332" s="5" t="s">
        <v>327</v>
      </c>
      <c r="C332" s="6">
        <v>107765</v>
      </c>
      <c r="D332" s="6">
        <v>107398</v>
      </c>
      <c r="E332" s="6">
        <v>105286</v>
      </c>
      <c r="F332" s="6">
        <v>104175</v>
      </c>
      <c r="G332" s="6">
        <v>103346</v>
      </c>
      <c r="H332" s="6">
        <v>102774</v>
      </c>
      <c r="I332" s="1" t="str">
        <f t="shared" si="10"/>
        <v xml:space="preserve"> California</v>
      </c>
      <c r="J332" s="1" t="str">
        <f t="shared" si="11"/>
        <v>Inglewood city</v>
      </c>
      <c r="K332" s="1">
        <f>IF(COUNTIF($I$5:I332,I332)=1,1,0)</f>
        <v>0</v>
      </c>
    </row>
    <row r="333" spans="1:11" x14ac:dyDescent="0.2">
      <c r="A333" s="9">
        <v>329</v>
      </c>
      <c r="B333" s="5" t="s">
        <v>328</v>
      </c>
      <c r="C333" s="6">
        <v>102285</v>
      </c>
      <c r="D333" s="6">
        <v>102482</v>
      </c>
      <c r="E333" s="6">
        <v>102831</v>
      </c>
      <c r="F333" s="6">
        <v>102661</v>
      </c>
      <c r="G333" s="6">
        <v>102633</v>
      </c>
      <c r="H333" s="6">
        <v>102372</v>
      </c>
      <c r="I333" s="1" t="str">
        <f t="shared" si="10"/>
        <v xml:space="preserve"> Texas</v>
      </c>
      <c r="J333" s="1" t="str">
        <f t="shared" si="11"/>
        <v>Wichita Falls city</v>
      </c>
      <c r="K333" s="1">
        <f>IF(COUNTIF($I$5:I333,I333)=1,1,0)</f>
        <v>0</v>
      </c>
    </row>
    <row r="334" spans="1:11" x14ac:dyDescent="0.2">
      <c r="A334" s="9">
        <v>330</v>
      </c>
      <c r="B334" s="5" t="s">
        <v>329</v>
      </c>
      <c r="C334" s="6">
        <v>97436</v>
      </c>
      <c r="D334" s="6">
        <v>98250</v>
      </c>
      <c r="E334" s="6">
        <v>98829</v>
      </c>
      <c r="F334" s="6">
        <v>100447</v>
      </c>
      <c r="G334" s="6">
        <v>101421</v>
      </c>
      <c r="H334" s="6">
        <v>102238</v>
      </c>
      <c r="I334" s="1" t="str">
        <f t="shared" si="10"/>
        <v xml:space="preserve"> Florida</v>
      </c>
      <c r="J334" s="1" t="str">
        <f t="shared" si="11"/>
        <v>Boca Raton city</v>
      </c>
      <c r="K334" s="1">
        <f>IF(COUNTIF($I$5:I334,I334)=1,1,0)</f>
        <v>0</v>
      </c>
    </row>
    <row r="335" spans="1:11" x14ac:dyDescent="0.2">
      <c r="A335" s="9">
        <v>331</v>
      </c>
      <c r="B335" s="5" t="s">
        <v>330</v>
      </c>
      <c r="C335" s="6">
        <v>99815</v>
      </c>
      <c r="D335" s="6">
        <v>99966</v>
      </c>
      <c r="E335" s="6">
        <v>100463</v>
      </c>
      <c r="F335" s="6">
        <v>100608</v>
      </c>
      <c r="G335" s="6">
        <v>100984</v>
      </c>
      <c r="H335" s="6">
        <v>101836</v>
      </c>
      <c r="I335" s="1" t="str">
        <f t="shared" si="10"/>
        <v xml:space="preserve"> California</v>
      </c>
      <c r="J335" s="1" t="str">
        <f t="shared" si="11"/>
        <v>Hesperia city</v>
      </c>
      <c r="K335" s="1">
        <f>IF(COUNTIF($I$5:I335,I335)=1,1,0)</f>
        <v>0</v>
      </c>
    </row>
    <row r="336" spans="1:11" x14ac:dyDescent="0.2">
      <c r="A336" s="9">
        <v>332</v>
      </c>
      <c r="B336" s="5" t="s">
        <v>331</v>
      </c>
      <c r="C336" s="6">
        <v>105049</v>
      </c>
      <c r="D336" s="6">
        <v>104945</v>
      </c>
      <c r="E336" s="6">
        <v>101893</v>
      </c>
      <c r="F336" s="6">
        <v>100785</v>
      </c>
      <c r="G336" s="6">
        <v>100761</v>
      </c>
      <c r="H336" s="6">
        <v>101418</v>
      </c>
      <c r="I336" s="1" t="str">
        <f t="shared" si="10"/>
        <v xml:space="preserve"> California</v>
      </c>
      <c r="J336" s="1" t="str">
        <f t="shared" si="11"/>
        <v>Daly City city</v>
      </c>
      <c r="K336" s="1">
        <f>IF(COUNTIF($I$5:I336,I336)=1,1,0)</f>
        <v>0</v>
      </c>
    </row>
    <row r="337" spans="1:11" x14ac:dyDescent="0.2">
      <c r="A337" s="9">
        <v>333</v>
      </c>
      <c r="B337" s="5" t="s">
        <v>332</v>
      </c>
      <c r="C337" s="6">
        <v>67423</v>
      </c>
      <c r="D337" s="6">
        <v>68712</v>
      </c>
      <c r="E337" s="6">
        <v>75945</v>
      </c>
      <c r="F337" s="6">
        <v>87156</v>
      </c>
      <c r="G337" s="6">
        <v>96731</v>
      </c>
      <c r="H337" s="6">
        <v>101344</v>
      </c>
      <c r="I337" s="1" t="str">
        <f t="shared" si="10"/>
        <v xml:space="preserve"> Texas</v>
      </c>
      <c r="J337" s="1" t="str">
        <f t="shared" si="11"/>
        <v>Georgetown city</v>
      </c>
      <c r="K337" s="1">
        <f>IF(COUNTIF($I$5:I337,I337)=1,1,0)</f>
        <v>0</v>
      </c>
    </row>
    <row r="338" spans="1:11" x14ac:dyDescent="0.2">
      <c r="A338" s="9">
        <v>334</v>
      </c>
      <c r="B338" s="5" t="s">
        <v>333</v>
      </c>
      <c r="C338" s="6">
        <v>101079</v>
      </c>
      <c r="D338" s="6">
        <v>100946</v>
      </c>
      <c r="E338" s="6">
        <v>100885</v>
      </c>
      <c r="F338" s="6">
        <v>100804</v>
      </c>
      <c r="G338" s="6">
        <v>101007</v>
      </c>
      <c r="H338" s="6">
        <v>101318</v>
      </c>
      <c r="I338" s="1" t="str">
        <f t="shared" si="10"/>
        <v xml:space="preserve"> Massachusetts</v>
      </c>
      <c r="J338" s="1" t="str">
        <f t="shared" si="11"/>
        <v>New Bedford city</v>
      </c>
      <c r="K338" s="1">
        <f>IF(COUNTIF($I$5:I338,I338)=1,1,0)</f>
        <v>0</v>
      </c>
    </row>
    <row r="339" spans="1:11" x14ac:dyDescent="0.2">
      <c r="A339" s="9">
        <v>335</v>
      </c>
      <c r="B339" s="5" t="s">
        <v>334</v>
      </c>
      <c r="C339" s="6">
        <v>99161</v>
      </c>
      <c r="D339" s="6">
        <v>98609</v>
      </c>
      <c r="E339" s="6">
        <v>100647</v>
      </c>
      <c r="F339" s="6">
        <v>100522</v>
      </c>
      <c r="G339" s="6">
        <v>101297</v>
      </c>
      <c r="H339" s="6">
        <v>101317</v>
      </c>
      <c r="I339" s="1" t="str">
        <f t="shared" si="10"/>
        <v xml:space="preserve"> New York</v>
      </c>
      <c r="J339" s="1" t="str">
        <f t="shared" si="11"/>
        <v>Albany city</v>
      </c>
      <c r="K339" s="1">
        <f>IF(COUNTIF($I$5:I339,I339)=1,1,0)</f>
        <v>0</v>
      </c>
    </row>
    <row r="340" spans="1:11" x14ac:dyDescent="0.2">
      <c r="A340" s="9">
        <v>336</v>
      </c>
      <c r="B340" s="5" t="s">
        <v>335</v>
      </c>
      <c r="C340" s="6">
        <v>101730</v>
      </c>
      <c r="D340" s="6">
        <v>101651</v>
      </c>
      <c r="E340" s="6">
        <v>101052</v>
      </c>
      <c r="F340" s="6">
        <v>100469</v>
      </c>
      <c r="G340" s="6">
        <v>100509</v>
      </c>
      <c r="H340" s="6">
        <v>100938</v>
      </c>
      <c r="I340" s="1" t="str">
        <f t="shared" si="10"/>
        <v xml:space="preserve"> Iowa</v>
      </c>
      <c r="J340" s="1" t="str">
        <f t="shared" si="11"/>
        <v>Davenport city</v>
      </c>
      <c r="K340" s="1">
        <f>IF(COUNTIF($I$5:I340,I340)=1,1,0)</f>
        <v>0</v>
      </c>
    </row>
    <row r="341" spans="1:11" x14ac:dyDescent="0.2">
      <c r="A341" s="9">
        <v>337</v>
      </c>
      <c r="B341" s="5" t="s">
        <v>336</v>
      </c>
      <c r="C341" s="6">
        <v>91779</v>
      </c>
      <c r="D341" s="6">
        <v>92088</v>
      </c>
      <c r="E341" s="6">
        <v>93210</v>
      </c>
      <c r="F341" s="6">
        <v>96960</v>
      </c>
      <c r="G341" s="6">
        <v>98542</v>
      </c>
      <c r="H341" s="6">
        <v>100694</v>
      </c>
      <c r="I341" s="1" t="str">
        <f t="shared" si="10"/>
        <v xml:space="preserve"> Florida</v>
      </c>
      <c r="J341" s="1" t="str">
        <f t="shared" si="11"/>
        <v>Plantation city</v>
      </c>
      <c r="K341" s="1">
        <f>IF(COUNTIF($I$5:I341,I341)=1,1,0)</f>
        <v>0</v>
      </c>
    </row>
    <row r="342" spans="1:11" x14ac:dyDescent="0.2">
      <c r="A342" s="9">
        <v>338</v>
      </c>
      <c r="B342" s="5" t="s">
        <v>337</v>
      </c>
      <c r="C342" s="6">
        <v>93700</v>
      </c>
      <c r="D342" s="6">
        <v>94046</v>
      </c>
      <c r="E342" s="6">
        <v>95478</v>
      </c>
      <c r="F342" s="6">
        <v>97497</v>
      </c>
      <c r="G342" s="6">
        <v>99157</v>
      </c>
      <c r="H342" s="6">
        <v>100513</v>
      </c>
      <c r="I342" s="1" t="str">
        <f t="shared" si="10"/>
        <v xml:space="preserve"> Florida</v>
      </c>
      <c r="J342" s="1" t="str">
        <f t="shared" si="11"/>
        <v>Deltona city</v>
      </c>
      <c r="K342" s="1">
        <f>IF(COUNTIF($I$5:I342,I342)=1,1,0)</f>
        <v>0</v>
      </c>
    </row>
    <row r="343" spans="1:11" x14ac:dyDescent="0.2">
      <c r="A343" s="9">
        <v>339</v>
      </c>
      <c r="B343" s="5" t="s">
        <v>338</v>
      </c>
      <c r="C343" s="6">
        <v>101023</v>
      </c>
      <c r="D343" s="6">
        <v>100994</v>
      </c>
      <c r="E343" s="6">
        <v>99243</v>
      </c>
      <c r="F343" s="6">
        <v>98164</v>
      </c>
      <c r="G343" s="6">
        <v>98830</v>
      </c>
      <c r="H343" s="6">
        <v>100252</v>
      </c>
      <c r="I343" s="1" t="str">
        <f t="shared" si="10"/>
        <v xml:space="preserve"> Washington</v>
      </c>
      <c r="J343" s="1" t="str">
        <f t="shared" si="11"/>
        <v>Federal Way city</v>
      </c>
      <c r="K343" s="1">
        <f>IF(COUNTIF($I$5:I343,I343)=1,1,0)</f>
        <v>0</v>
      </c>
    </row>
    <row r="344" spans="1:11" x14ac:dyDescent="0.2">
      <c r="A344" s="9">
        <v>340</v>
      </c>
      <c r="B344" s="5" t="s">
        <v>339</v>
      </c>
      <c r="C344" s="6">
        <v>99903</v>
      </c>
      <c r="D344" s="6">
        <v>100065</v>
      </c>
      <c r="E344" s="6">
        <v>99411</v>
      </c>
      <c r="F344" s="6">
        <v>99202</v>
      </c>
      <c r="G344" s="6">
        <v>99513</v>
      </c>
      <c r="H344" s="6">
        <v>100159</v>
      </c>
      <c r="I344" s="1" t="str">
        <f t="shared" si="10"/>
        <v xml:space="preserve"> Texas</v>
      </c>
      <c r="J344" s="1" t="str">
        <f t="shared" si="11"/>
        <v>San Angelo city</v>
      </c>
      <c r="K344" s="1">
        <f>IF(COUNTIF($I$5:I344,I344)=1,1,0)</f>
        <v>0</v>
      </c>
    </row>
    <row r="345" spans="1:11" x14ac:dyDescent="0.2">
      <c r="A345" s="9">
        <v>341</v>
      </c>
      <c r="B345" s="5" t="s">
        <v>340</v>
      </c>
      <c r="C345" s="6">
        <v>93118</v>
      </c>
      <c r="D345" s="6">
        <v>93618</v>
      </c>
      <c r="E345" s="6">
        <v>95528</v>
      </c>
      <c r="F345" s="6">
        <v>96993</v>
      </c>
      <c r="G345" s="6">
        <v>98574</v>
      </c>
      <c r="H345" s="6">
        <v>100136</v>
      </c>
      <c r="I345" s="1" t="str">
        <f t="shared" si="10"/>
        <v xml:space="preserve"> California</v>
      </c>
      <c r="J345" s="1" t="str">
        <f t="shared" si="11"/>
        <v>Tracy city</v>
      </c>
      <c r="K345" s="1">
        <f>IF(COUNTIF($I$5:I345,I345)=1,1,0)</f>
        <v>0</v>
      </c>
    </row>
    <row r="346" spans="1:11" x14ac:dyDescent="0.2">
      <c r="A346" s="9">
        <v>342</v>
      </c>
      <c r="B346" s="5" t="s">
        <v>341</v>
      </c>
      <c r="C346" s="6">
        <v>97294</v>
      </c>
      <c r="D346" s="6">
        <v>97097</v>
      </c>
      <c r="E346" s="6">
        <v>96220</v>
      </c>
      <c r="F346" s="6">
        <v>97248</v>
      </c>
      <c r="G346" s="6">
        <v>98782</v>
      </c>
      <c r="H346" s="6">
        <v>100128</v>
      </c>
      <c r="I346" s="1" t="str">
        <f t="shared" si="10"/>
        <v xml:space="preserve"> Florida</v>
      </c>
      <c r="J346" s="1" t="str">
        <f t="shared" si="11"/>
        <v>Sunrise city</v>
      </c>
      <c r="K346" s="1">
        <f>IF(COUNTIF($I$5:I346,I346)=1,1,0)</f>
        <v>0</v>
      </c>
    </row>
    <row r="347" spans="1:11" x14ac:dyDescent="0.2">
      <c r="A347" s="9">
        <v>343</v>
      </c>
      <c r="B347" s="5" t="s">
        <v>342</v>
      </c>
      <c r="C347" s="6">
        <v>86428</v>
      </c>
      <c r="D347" s="6">
        <v>87288</v>
      </c>
      <c r="E347" s="6">
        <v>93307</v>
      </c>
      <c r="F347" s="6">
        <v>96324</v>
      </c>
      <c r="G347" s="6">
        <v>98378</v>
      </c>
      <c r="H347" s="6">
        <v>99918</v>
      </c>
      <c r="I347" s="1" t="str">
        <f t="shared" si="10"/>
        <v xml:space="preserve"> Florida</v>
      </c>
      <c r="J347" s="1" t="str">
        <f t="shared" si="11"/>
        <v>Fort Myers city</v>
      </c>
      <c r="K347" s="1">
        <f>IF(COUNTIF($I$5:I347,I347)=1,1,0)</f>
        <v>0</v>
      </c>
    </row>
    <row r="348" spans="1:11" x14ac:dyDescent="0.2">
      <c r="A348" s="9">
        <v>344</v>
      </c>
      <c r="B348" s="5" t="s">
        <v>343</v>
      </c>
      <c r="C348" s="6">
        <v>98919</v>
      </c>
      <c r="D348" s="6">
        <v>99206</v>
      </c>
      <c r="E348" s="6">
        <v>99741</v>
      </c>
      <c r="F348" s="6">
        <v>99006</v>
      </c>
      <c r="G348" s="6">
        <v>99105</v>
      </c>
      <c r="H348" s="6">
        <v>99818</v>
      </c>
      <c r="I348" s="1" t="str">
        <f t="shared" si="10"/>
        <v xml:space="preserve"> Colorado</v>
      </c>
      <c r="J348" s="1" t="str">
        <f t="shared" si="11"/>
        <v>Longmont city</v>
      </c>
      <c r="K348" s="1">
        <f>IF(COUNTIF($I$5:I348,I348)=1,1,0)</f>
        <v>0</v>
      </c>
    </row>
    <row r="349" spans="1:11" x14ac:dyDescent="0.2">
      <c r="A349" s="9">
        <v>345</v>
      </c>
      <c r="B349" s="5" t="s">
        <v>344</v>
      </c>
      <c r="C349" s="6">
        <v>100005</v>
      </c>
      <c r="D349" s="6">
        <v>99963</v>
      </c>
      <c r="E349" s="6">
        <v>99250</v>
      </c>
      <c r="F349" s="6">
        <v>99049</v>
      </c>
      <c r="G349" s="6">
        <v>99082</v>
      </c>
      <c r="H349" s="6">
        <v>99578</v>
      </c>
      <c r="I349" s="1" t="str">
        <f t="shared" si="10"/>
        <v xml:space="preserve"> Wisconsin</v>
      </c>
      <c r="J349" s="1" t="str">
        <f t="shared" si="11"/>
        <v>Kenosha city</v>
      </c>
      <c r="K349" s="1">
        <f>IF(COUNTIF($I$5:I349,I349)=1,1,0)</f>
        <v>0</v>
      </c>
    </row>
    <row r="350" spans="1:11" x14ac:dyDescent="0.2">
      <c r="A350" s="9">
        <v>346</v>
      </c>
      <c r="B350" s="5" t="s">
        <v>345</v>
      </c>
      <c r="C350" s="6">
        <v>98732</v>
      </c>
      <c r="D350" s="6">
        <v>98833</v>
      </c>
      <c r="E350" s="6">
        <v>99221</v>
      </c>
      <c r="F350" s="6">
        <v>99269</v>
      </c>
      <c r="G350" s="6">
        <v>99031</v>
      </c>
      <c r="H350" s="6">
        <v>99322</v>
      </c>
      <c r="I350" s="1" t="str">
        <f t="shared" si="10"/>
        <v xml:space="preserve"> California</v>
      </c>
      <c r="J350" s="1" t="str">
        <f t="shared" si="11"/>
        <v>Vista city</v>
      </c>
      <c r="K350" s="1">
        <f>IF(COUNTIF($I$5:I350,I350)=1,1,0)</f>
        <v>0</v>
      </c>
    </row>
    <row r="351" spans="1:11" x14ac:dyDescent="0.2">
      <c r="A351" s="9">
        <v>347</v>
      </c>
      <c r="B351" s="5" t="s">
        <v>346</v>
      </c>
      <c r="C351" s="6">
        <v>94427</v>
      </c>
      <c r="D351" s="6">
        <v>94750</v>
      </c>
      <c r="E351" s="6">
        <v>95375</v>
      </c>
      <c r="F351" s="6">
        <v>96565</v>
      </c>
      <c r="G351" s="6">
        <v>98344</v>
      </c>
      <c r="H351" s="6">
        <v>99040</v>
      </c>
      <c r="I351" s="1" t="str">
        <f t="shared" si="10"/>
        <v xml:space="preserve"> Oklahoma</v>
      </c>
      <c r="J351" s="1" t="str">
        <f t="shared" si="11"/>
        <v>Edmond city</v>
      </c>
      <c r="K351" s="1">
        <f>IF(COUNTIF($I$5:I351,I351)=1,1,0)</f>
        <v>0</v>
      </c>
    </row>
    <row r="352" spans="1:11" x14ac:dyDescent="0.2">
      <c r="A352" s="9">
        <v>348</v>
      </c>
      <c r="B352" s="5" t="s">
        <v>347</v>
      </c>
      <c r="C352" s="6">
        <v>97538</v>
      </c>
      <c r="D352" s="6">
        <v>97558</v>
      </c>
      <c r="E352" s="6">
        <v>98533</v>
      </c>
      <c r="F352" s="6">
        <v>97036</v>
      </c>
      <c r="G352" s="6">
        <v>97645</v>
      </c>
      <c r="H352" s="6">
        <v>98302</v>
      </c>
      <c r="I352" s="1" t="str">
        <f t="shared" si="10"/>
        <v xml:space="preserve"> Oregon</v>
      </c>
      <c r="J352" s="1" t="str">
        <f t="shared" si="11"/>
        <v>Beaverton city</v>
      </c>
      <c r="K352" s="1">
        <f>IF(COUNTIF($I$5:I352,I352)=1,1,0)</f>
        <v>0</v>
      </c>
    </row>
    <row r="353" spans="1:11" x14ac:dyDescent="0.2">
      <c r="A353" s="9">
        <v>349</v>
      </c>
      <c r="B353" s="5" t="s">
        <v>348</v>
      </c>
      <c r="C353" s="6">
        <v>102766</v>
      </c>
      <c r="D353" s="6">
        <v>102413</v>
      </c>
      <c r="E353" s="6">
        <v>100423</v>
      </c>
      <c r="F353" s="6">
        <v>99341</v>
      </c>
      <c r="G353" s="6">
        <v>98588</v>
      </c>
      <c r="H353" s="6">
        <v>98230</v>
      </c>
      <c r="I353" s="1" t="str">
        <f t="shared" si="10"/>
        <v xml:space="preserve"> California</v>
      </c>
      <c r="J353" s="1" t="str">
        <f t="shared" si="11"/>
        <v>Norwalk city</v>
      </c>
      <c r="K353" s="1">
        <f>IF(COUNTIF($I$5:I353,I353)=1,1,0)</f>
        <v>0</v>
      </c>
    </row>
    <row r="354" spans="1:11" x14ac:dyDescent="0.2">
      <c r="A354" s="9">
        <v>350</v>
      </c>
      <c r="B354" s="5" t="s">
        <v>349</v>
      </c>
      <c r="C354" s="6">
        <v>100016</v>
      </c>
      <c r="D354" s="6">
        <v>99898</v>
      </c>
      <c r="E354" s="6">
        <v>98717</v>
      </c>
      <c r="F354" s="6">
        <v>97743</v>
      </c>
      <c r="G354" s="6">
        <v>97503</v>
      </c>
      <c r="H354" s="6">
        <v>97912</v>
      </c>
      <c r="I354" s="1" t="str">
        <f t="shared" si="10"/>
        <v xml:space="preserve"> Virginia</v>
      </c>
      <c r="J354" s="1" t="str">
        <f t="shared" si="11"/>
        <v>Roanoke city</v>
      </c>
      <c r="K354" s="1">
        <f>IF(COUNTIF($I$5:I354,I354)=1,1,0)</f>
        <v>0</v>
      </c>
    </row>
    <row r="355" spans="1:11" x14ac:dyDescent="0.2">
      <c r="A355" s="9">
        <v>351</v>
      </c>
      <c r="B355" s="5" t="s">
        <v>350</v>
      </c>
      <c r="C355" s="6">
        <v>96992</v>
      </c>
      <c r="D355" s="6">
        <v>97084</v>
      </c>
      <c r="E355" s="6">
        <v>96793</v>
      </c>
      <c r="F355" s="6">
        <v>96622</v>
      </c>
      <c r="G355" s="6">
        <v>96904</v>
      </c>
      <c r="H355" s="6">
        <v>97390</v>
      </c>
      <c r="I355" s="1" t="str">
        <f t="shared" si="10"/>
        <v xml:space="preserve"> Washington</v>
      </c>
      <c r="J355" s="1" t="str">
        <f t="shared" si="11"/>
        <v>Yakima city</v>
      </c>
      <c r="K355" s="1">
        <f>IF(COUNTIF($I$5:I355,I355)=1,1,0)</f>
        <v>0</v>
      </c>
    </row>
    <row r="356" spans="1:11" x14ac:dyDescent="0.2">
      <c r="A356" s="9">
        <v>352</v>
      </c>
      <c r="B356" s="5" t="s">
        <v>351</v>
      </c>
      <c r="C356" s="6">
        <v>94933</v>
      </c>
      <c r="D356" s="6">
        <v>94939</v>
      </c>
      <c r="E356" s="6">
        <v>95402</v>
      </c>
      <c r="F356" s="6">
        <v>95874</v>
      </c>
      <c r="G356" s="6">
        <v>96708</v>
      </c>
      <c r="H356" s="6">
        <v>97271</v>
      </c>
      <c r="I356" s="1" t="str">
        <f t="shared" si="10"/>
        <v xml:space="preserve"> Kansas</v>
      </c>
      <c r="J356" s="1" t="str">
        <f t="shared" si="11"/>
        <v>Lawrence city</v>
      </c>
      <c r="K356" s="1">
        <f>IF(COUNTIF($I$5:I356,I356)=1,1,0)</f>
        <v>0</v>
      </c>
    </row>
    <row r="357" spans="1:11" x14ac:dyDescent="0.2">
      <c r="A357" s="9">
        <v>353</v>
      </c>
      <c r="B357" s="5" t="s">
        <v>352</v>
      </c>
      <c r="C357" s="6">
        <v>98130</v>
      </c>
      <c r="D357" s="6">
        <v>98428</v>
      </c>
      <c r="E357" s="6">
        <v>98212</v>
      </c>
      <c r="F357" s="6">
        <v>96312</v>
      </c>
      <c r="G357" s="6">
        <v>96403</v>
      </c>
      <c r="H357" s="6">
        <v>96646</v>
      </c>
      <c r="I357" s="1" t="str">
        <f t="shared" si="10"/>
        <v xml:space="preserve"> Utah</v>
      </c>
      <c r="J357" s="1" t="str">
        <f t="shared" si="11"/>
        <v>Orem city</v>
      </c>
      <c r="K357" s="1">
        <f>IF(COUNTIF($I$5:I357,I357)=1,1,0)</f>
        <v>0</v>
      </c>
    </row>
    <row r="358" spans="1:11" x14ac:dyDescent="0.2">
      <c r="A358" s="9">
        <v>354</v>
      </c>
      <c r="B358" s="5" t="s">
        <v>353</v>
      </c>
      <c r="C358" s="6">
        <v>94868</v>
      </c>
      <c r="D358" s="6">
        <v>94938</v>
      </c>
      <c r="E358" s="6">
        <v>93372</v>
      </c>
      <c r="F358" s="6">
        <v>94228</v>
      </c>
      <c r="G358" s="6">
        <v>95195</v>
      </c>
      <c r="H358" s="6">
        <v>96620</v>
      </c>
      <c r="I358" s="1" t="str">
        <f t="shared" si="10"/>
        <v xml:space="preserve"> California</v>
      </c>
      <c r="J358" s="1" t="str">
        <f t="shared" si="11"/>
        <v>San Marcos city</v>
      </c>
      <c r="K358" s="1">
        <f>IF(COUNTIF($I$5:I358,I358)=1,1,0)</f>
        <v>0</v>
      </c>
    </row>
    <row r="359" spans="1:11" x14ac:dyDescent="0.2">
      <c r="A359" s="9">
        <v>355</v>
      </c>
      <c r="B359" s="5" t="s">
        <v>354</v>
      </c>
      <c r="C359" s="6">
        <v>89343</v>
      </c>
      <c r="D359" s="6">
        <v>89566</v>
      </c>
      <c r="E359" s="6">
        <v>90479</v>
      </c>
      <c r="F359" s="6">
        <v>91624</v>
      </c>
      <c r="G359" s="6">
        <v>94036</v>
      </c>
      <c r="H359" s="6">
        <v>96609</v>
      </c>
      <c r="I359" s="1" t="str">
        <f t="shared" si="10"/>
        <v xml:space="preserve"> Arizona</v>
      </c>
      <c r="J359" s="1" t="str">
        <f t="shared" si="11"/>
        <v>Avondale city</v>
      </c>
      <c r="K359" s="1">
        <f>IF(COUNTIF($I$5:I359,I359)=1,1,0)</f>
        <v>0</v>
      </c>
    </row>
    <row r="360" spans="1:11" x14ac:dyDescent="0.2">
      <c r="A360" s="9">
        <v>356</v>
      </c>
      <c r="B360" s="5" t="s">
        <v>355</v>
      </c>
      <c r="C360" s="6">
        <v>97945</v>
      </c>
      <c r="D360" s="6">
        <v>97997</v>
      </c>
      <c r="E360" s="6">
        <v>97700</v>
      </c>
      <c r="F360" s="6">
        <v>96989</v>
      </c>
      <c r="G360" s="6">
        <v>96782</v>
      </c>
      <c r="H360" s="6">
        <v>96482</v>
      </c>
      <c r="I360" s="1" t="str">
        <f t="shared" si="10"/>
        <v xml:space="preserve"> Virginia</v>
      </c>
      <c r="J360" s="1" t="str">
        <f t="shared" si="11"/>
        <v>Portsmouth city</v>
      </c>
      <c r="K360" s="1">
        <f>IF(COUNTIF($I$5:I360,I360)=1,1,0)</f>
        <v>0</v>
      </c>
    </row>
    <row r="361" spans="1:11" x14ac:dyDescent="0.2">
      <c r="A361" s="9">
        <v>357</v>
      </c>
      <c r="B361" s="5" t="s">
        <v>356</v>
      </c>
      <c r="C361" s="6">
        <v>82217</v>
      </c>
      <c r="D361" s="6">
        <v>82799</v>
      </c>
      <c r="E361" s="6">
        <v>85783</v>
      </c>
      <c r="F361" s="6">
        <v>89724</v>
      </c>
      <c r="G361" s="6">
        <v>93332</v>
      </c>
      <c r="H361" s="6">
        <v>96267</v>
      </c>
      <c r="I361" s="1" t="str">
        <f t="shared" si="10"/>
        <v xml:space="preserve"> Texas</v>
      </c>
      <c r="J361" s="1" t="str">
        <f t="shared" si="11"/>
        <v>Temple city</v>
      </c>
      <c r="K361" s="1">
        <f>IF(COUNTIF($I$5:I361,I361)=1,1,0)</f>
        <v>0</v>
      </c>
    </row>
    <row r="362" spans="1:11" x14ac:dyDescent="0.2">
      <c r="A362" s="9">
        <v>358</v>
      </c>
      <c r="B362" s="5" t="s">
        <v>357</v>
      </c>
      <c r="C362" s="6">
        <v>86374</v>
      </c>
      <c r="D362" s="6">
        <v>87019</v>
      </c>
      <c r="E362" s="6">
        <v>90017</v>
      </c>
      <c r="F362" s="6">
        <v>92382</v>
      </c>
      <c r="G362" s="6">
        <v>94190</v>
      </c>
      <c r="H362" s="6">
        <v>96073</v>
      </c>
      <c r="I362" s="1" t="str">
        <f t="shared" si="10"/>
        <v xml:space="preserve"> California</v>
      </c>
      <c r="J362" s="1" t="str">
        <f t="shared" si="11"/>
        <v>Merced city</v>
      </c>
      <c r="K362" s="1">
        <f>IF(COUNTIF($I$5:I362,I362)=1,1,0)</f>
        <v>0</v>
      </c>
    </row>
    <row r="363" spans="1:11" x14ac:dyDescent="0.2">
      <c r="A363" s="9">
        <v>359</v>
      </c>
      <c r="B363" s="5" t="s">
        <v>358</v>
      </c>
      <c r="C363" s="6">
        <v>95100</v>
      </c>
      <c r="D363" s="6">
        <v>94983</v>
      </c>
      <c r="E363" s="6">
        <v>94963</v>
      </c>
      <c r="F363" s="6">
        <v>95011</v>
      </c>
      <c r="G363" s="6">
        <v>95353</v>
      </c>
      <c r="H363" s="6">
        <v>96000</v>
      </c>
      <c r="I363" s="1" t="str">
        <f t="shared" si="10"/>
        <v xml:space="preserve"> Pennsylvania</v>
      </c>
      <c r="J363" s="1" t="str">
        <f t="shared" si="11"/>
        <v>Reading city</v>
      </c>
      <c r="K363" s="1">
        <f>IF(COUNTIF($I$5:I363,I363)=1,1,0)</f>
        <v>0</v>
      </c>
    </row>
    <row r="364" spans="1:11" x14ac:dyDescent="0.2">
      <c r="A364" s="9">
        <v>360</v>
      </c>
      <c r="B364" s="5" t="s">
        <v>359</v>
      </c>
      <c r="C364" s="6">
        <v>91476</v>
      </c>
      <c r="D364" s="6">
        <v>91870</v>
      </c>
      <c r="E364" s="6">
        <v>90444</v>
      </c>
      <c r="F364" s="6">
        <v>93917</v>
      </c>
      <c r="G364" s="6">
        <v>95026</v>
      </c>
      <c r="H364" s="6">
        <v>95860</v>
      </c>
      <c r="I364" s="1" t="str">
        <f t="shared" si="10"/>
        <v xml:space="preserve"> Washington</v>
      </c>
      <c r="J364" s="1" t="str">
        <f t="shared" si="11"/>
        <v>Bellingham city</v>
      </c>
      <c r="K364" s="1">
        <f>IF(COUNTIF($I$5:I364,I364)=1,1,0)</f>
        <v>0</v>
      </c>
    </row>
    <row r="365" spans="1:11" x14ac:dyDescent="0.2">
      <c r="A365" s="9">
        <v>361</v>
      </c>
      <c r="B365" s="5" t="s">
        <v>360</v>
      </c>
      <c r="C365" s="6">
        <v>90987</v>
      </c>
      <c r="D365" s="6">
        <v>91251</v>
      </c>
      <c r="E365" s="6">
        <v>92962</v>
      </c>
      <c r="F365" s="6">
        <v>94688</v>
      </c>
      <c r="G365" s="6">
        <v>95495</v>
      </c>
      <c r="H365" s="6">
        <v>95604</v>
      </c>
      <c r="I365" s="1" t="str">
        <f t="shared" si="10"/>
        <v xml:space="preserve"> South Carolina</v>
      </c>
      <c r="J365" s="1" t="str">
        <f t="shared" si="11"/>
        <v>Mount Pleasant town</v>
      </c>
      <c r="K365" s="1">
        <f>IF(COUNTIF($I$5:I365,I365)=1,1,0)</f>
        <v>0</v>
      </c>
    </row>
    <row r="366" spans="1:11" x14ac:dyDescent="0.2">
      <c r="A366" s="9">
        <v>362</v>
      </c>
      <c r="B366" s="5" t="s">
        <v>361</v>
      </c>
      <c r="C366" s="6">
        <v>92164</v>
      </c>
      <c r="D366" s="6">
        <v>92741</v>
      </c>
      <c r="E366" s="6">
        <v>91352</v>
      </c>
      <c r="F366" s="6">
        <v>91119</v>
      </c>
      <c r="G366" s="6">
        <v>92261</v>
      </c>
      <c r="H366" s="6">
        <v>95499</v>
      </c>
      <c r="I366" s="1" t="str">
        <f t="shared" si="10"/>
        <v xml:space="preserve"> Washington</v>
      </c>
      <c r="J366" s="1" t="str">
        <f t="shared" si="11"/>
        <v>Kirkland city</v>
      </c>
      <c r="K366" s="1">
        <f>IF(COUNTIF($I$5:I366,I366)=1,1,0)</f>
        <v>0</v>
      </c>
    </row>
    <row r="367" spans="1:11" x14ac:dyDescent="0.2">
      <c r="A367" s="9">
        <v>363</v>
      </c>
      <c r="B367" s="5" t="s">
        <v>362</v>
      </c>
      <c r="C367" s="6">
        <v>91375</v>
      </c>
      <c r="D367" s="6">
        <v>91665</v>
      </c>
      <c r="E367" s="6">
        <v>93747</v>
      </c>
      <c r="F367" s="6">
        <v>93753</v>
      </c>
      <c r="G367" s="6">
        <v>94418</v>
      </c>
      <c r="H367" s="6">
        <v>95355</v>
      </c>
      <c r="I367" s="1" t="str">
        <f t="shared" si="10"/>
        <v xml:space="preserve"> Missouri</v>
      </c>
      <c r="J367" s="1" t="str">
        <f t="shared" si="11"/>
        <v>O'Fallon city</v>
      </c>
      <c r="K367" s="1">
        <f>IF(COUNTIF($I$5:I367,I367)=1,1,0)</f>
        <v>0</v>
      </c>
    </row>
    <row r="368" spans="1:11" x14ac:dyDescent="0.2">
      <c r="A368" s="9">
        <v>364</v>
      </c>
      <c r="B368" s="5" t="s">
        <v>363</v>
      </c>
      <c r="C368" s="6">
        <v>89273</v>
      </c>
      <c r="D368" s="6">
        <v>90953</v>
      </c>
      <c r="E368" s="6">
        <v>91694</v>
      </c>
      <c r="F368" s="6">
        <v>92733</v>
      </c>
      <c r="G368" s="6">
        <v>93793</v>
      </c>
      <c r="H368" s="6">
        <v>95138</v>
      </c>
      <c r="I368" s="1" t="str">
        <f t="shared" si="10"/>
        <v xml:space="preserve"> North Carolina</v>
      </c>
      <c r="J368" s="1" t="str">
        <f t="shared" si="11"/>
        <v>Greenville city</v>
      </c>
      <c r="K368" s="1">
        <f>IF(COUNTIF($I$5:I368,I368)=1,1,0)</f>
        <v>0</v>
      </c>
    </row>
    <row r="369" spans="1:11" x14ac:dyDescent="0.2">
      <c r="A369" s="9">
        <v>365</v>
      </c>
      <c r="B369" s="5" t="s">
        <v>364</v>
      </c>
      <c r="C369" s="6">
        <v>94725</v>
      </c>
      <c r="D369" s="6">
        <v>94353</v>
      </c>
      <c r="E369" s="6">
        <v>94180</v>
      </c>
      <c r="F369" s="6">
        <v>93910</v>
      </c>
      <c r="G369" s="6">
        <v>95235</v>
      </c>
      <c r="H369" s="6">
        <v>94992</v>
      </c>
      <c r="I369" s="1" t="str">
        <f t="shared" si="10"/>
        <v xml:space="preserve"> North Carolina</v>
      </c>
      <c r="J369" s="1" t="str">
        <f t="shared" si="11"/>
        <v>Asheville city</v>
      </c>
      <c r="K369" s="1">
        <f>IF(COUNTIF($I$5:I369,I369)=1,1,0)</f>
        <v>0</v>
      </c>
    </row>
    <row r="370" spans="1:11" x14ac:dyDescent="0.2">
      <c r="A370" s="9">
        <v>366</v>
      </c>
      <c r="B370" s="5" t="s">
        <v>365</v>
      </c>
      <c r="C370" s="6">
        <v>93983</v>
      </c>
      <c r="D370" s="6">
        <v>93918</v>
      </c>
      <c r="E370" s="6">
        <v>93852</v>
      </c>
      <c r="F370" s="6">
        <v>93826</v>
      </c>
      <c r="G370" s="6">
        <v>94295</v>
      </c>
      <c r="H370" s="6">
        <v>94689</v>
      </c>
      <c r="I370" s="1" t="str">
        <f t="shared" si="10"/>
        <v xml:space="preserve"> Massachusetts</v>
      </c>
      <c r="J370" s="1" t="str">
        <f t="shared" si="11"/>
        <v>Fall River city</v>
      </c>
      <c r="K370" s="1">
        <f>IF(COUNTIF($I$5:I370,I370)=1,1,0)</f>
        <v>0</v>
      </c>
    </row>
    <row r="371" spans="1:11" x14ac:dyDescent="0.2">
      <c r="A371" s="9">
        <v>367</v>
      </c>
      <c r="B371" s="5" t="s">
        <v>366</v>
      </c>
      <c r="C371" s="6">
        <v>83555</v>
      </c>
      <c r="D371" s="6">
        <v>84061</v>
      </c>
      <c r="E371" s="6">
        <v>86365</v>
      </c>
      <c r="F371" s="6">
        <v>88849</v>
      </c>
      <c r="G371" s="6">
        <v>91614</v>
      </c>
      <c r="H371" s="6">
        <v>94292</v>
      </c>
      <c r="I371" s="1" t="str">
        <f t="shared" si="10"/>
        <v xml:space="preserve"> California</v>
      </c>
      <c r="J371" s="1" t="str">
        <f t="shared" si="11"/>
        <v>Manteca city</v>
      </c>
      <c r="K371" s="1">
        <f>IF(COUNTIF($I$5:I371,I371)=1,1,0)</f>
        <v>0</v>
      </c>
    </row>
    <row r="372" spans="1:11" x14ac:dyDescent="0.2">
      <c r="A372" s="9">
        <v>368</v>
      </c>
      <c r="B372" s="5" t="s">
        <v>367</v>
      </c>
      <c r="C372" s="6">
        <v>89286</v>
      </c>
      <c r="D372" s="6">
        <v>89477</v>
      </c>
      <c r="E372" s="6">
        <v>90818</v>
      </c>
      <c r="F372" s="6">
        <v>91906</v>
      </c>
      <c r="G372" s="6">
        <v>93162</v>
      </c>
      <c r="H372" s="6">
        <v>94275</v>
      </c>
      <c r="I372" s="1" t="str">
        <f t="shared" si="10"/>
        <v xml:space="preserve"> California</v>
      </c>
      <c r="J372" s="1" t="str">
        <f t="shared" si="11"/>
        <v>Indio city</v>
      </c>
      <c r="K372" s="1">
        <f>IF(COUNTIF($I$5:I372,I372)=1,1,0)</f>
        <v>0</v>
      </c>
    </row>
    <row r="373" spans="1:11" x14ac:dyDescent="0.2">
      <c r="A373" s="9">
        <v>369</v>
      </c>
      <c r="B373" s="5" t="s">
        <v>368</v>
      </c>
      <c r="C373" s="6">
        <v>91390</v>
      </c>
      <c r="D373" s="6">
        <v>91046</v>
      </c>
      <c r="E373" s="6">
        <v>91644</v>
      </c>
      <c r="F373" s="6">
        <v>93403</v>
      </c>
      <c r="G373" s="6">
        <v>93154</v>
      </c>
      <c r="H373" s="6">
        <v>94010</v>
      </c>
      <c r="I373" s="1" t="str">
        <f t="shared" si="10"/>
        <v xml:space="preserve"> California</v>
      </c>
      <c r="J373" s="1" t="str">
        <f t="shared" si="11"/>
        <v>Chino city</v>
      </c>
      <c r="K373" s="1">
        <f>IF(COUNTIF($I$5:I373,I373)=1,1,0)</f>
        <v>0</v>
      </c>
    </row>
    <row r="374" spans="1:11" x14ac:dyDescent="0.2">
      <c r="A374" s="9">
        <v>370</v>
      </c>
      <c r="B374" s="5" t="s">
        <v>369</v>
      </c>
      <c r="C374" s="6">
        <v>91188</v>
      </c>
      <c r="D374" s="6">
        <v>90897</v>
      </c>
      <c r="E374" s="6">
        <v>91448</v>
      </c>
      <c r="F374" s="6">
        <v>91653</v>
      </c>
      <c r="G374" s="6">
        <v>93182</v>
      </c>
      <c r="H374" s="6">
        <v>93661</v>
      </c>
      <c r="I374" s="1" t="str">
        <f t="shared" si="10"/>
        <v xml:space="preserve"> Connecticut</v>
      </c>
      <c r="J374" s="1" t="str">
        <f t="shared" si="11"/>
        <v>Norwalk city</v>
      </c>
      <c r="K374" s="1">
        <f>IF(COUNTIF($I$5:I374,I374)=1,1,0)</f>
        <v>0</v>
      </c>
    </row>
    <row r="375" spans="1:11" x14ac:dyDescent="0.2">
      <c r="A375" s="9">
        <v>371</v>
      </c>
      <c r="B375" s="5" t="s">
        <v>370</v>
      </c>
      <c r="C375" s="6">
        <v>93919</v>
      </c>
      <c r="D375" s="6">
        <v>93799</v>
      </c>
      <c r="E375" s="6">
        <v>93701</v>
      </c>
      <c r="F375" s="6">
        <v>93069</v>
      </c>
      <c r="G375" s="6">
        <v>93013</v>
      </c>
      <c r="H375" s="6">
        <v>93502</v>
      </c>
      <c r="I375" s="1" t="str">
        <f t="shared" si="10"/>
        <v xml:space="preserve"> California</v>
      </c>
      <c r="J375" s="1" t="str">
        <f t="shared" si="11"/>
        <v>Redding city</v>
      </c>
      <c r="K375" s="1">
        <f>IF(COUNTIF($I$5:I375,I375)=1,1,0)</f>
        <v>0</v>
      </c>
    </row>
    <row r="376" spans="1:11" x14ac:dyDescent="0.2">
      <c r="A376" s="9">
        <v>372</v>
      </c>
      <c r="B376" s="5" t="s">
        <v>371</v>
      </c>
      <c r="C376" s="6">
        <v>75918</v>
      </c>
      <c r="D376" s="6">
        <v>76863</v>
      </c>
      <c r="E376" s="6">
        <v>79958</v>
      </c>
      <c r="F376" s="6">
        <v>84626</v>
      </c>
      <c r="G376" s="6">
        <v>90992</v>
      </c>
      <c r="H376" s="6">
        <v>93446</v>
      </c>
      <c r="I376" s="1" t="str">
        <f t="shared" si="10"/>
        <v xml:space="preserve"> Utah</v>
      </c>
      <c r="J376" s="1" t="str">
        <f t="shared" si="11"/>
        <v>Lehi city</v>
      </c>
      <c r="K376" s="1">
        <f>IF(COUNTIF($I$5:I376,I376)=1,1,0)</f>
        <v>0</v>
      </c>
    </row>
    <row r="377" spans="1:11" x14ac:dyDescent="0.2">
      <c r="A377" s="9">
        <v>373</v>
      </c>
      <c r="B377" s="5" t="s">
        <v>372</v>
      </c>
      <c r="C377" s="6">
        <v>95527</v>
      </c>
      <c r="D377" s="6">
        <v>95416</v>
      </c>
      <c r="E377" s="6">
        <v>94404</v>
      </c>
      <c r="F377" s="6">
        <v>93473</v>
      </c>
      <c r="G377" s="6">
        <v>92953</v>
      </c>
      <c r="H377" s="6">
        <v>93113</v>
      </c>
      <c r="I377" s="1" t="str">
        <f t="shared" si="10"/>
        <v xml:space="preserve"> Michigan</v>
      </c>
      <c r="J377" s="1" t="str">
        <f t="shared" si="11"/>
        <v>Livonia city</v>
      </c>
      <c r="K377" s="1">
        <f>IF(COUNTIF($I$5:I377,I377)=1,1,0)</f>
        <v>0</v>
      </c>
    </row>
    <row r="378" spans="1:11" x14ac:dyDescent="0.2">
      <c r="A378" s="9">
        <v>374</v>
      </c>
      <c r="B378" s="5" t="s">
        <v>373</v>
      </c>
      <c r="C378" s="6">
        <v>92571</v>
      </c>
      <c r="D378" s="6">
        <v>92690</v>
      </c>
      <c r="E378" s="6">
        <v>92541</v>
      </c>
      <c r="F378" s="6">
        <v>92415</v>
      </c>
      <c r="G378" s="6">
        <v>92587</v>
      </c>
      <c r="H378" s="6">
        <v>93013</v>
      </c>
      <c r="I378" s="1" t="str">
        <f t="shared" si="10"/>
        <v xml:space="preserve"> Alabama</v>
      </c>
      <c r="J378" s="1" t="str">
        <f t="shared" si="11"/>
        <v>Hoover city</v>
      </c>
      <c r="K378" s="1">
        <f>IF(COUNTIF($I$5:I378,I378)=1,1,0)</f>
        <v>0</v>
      </c>
    </row>
    <row r="379" spans="1:11" x14ac:dyDescent="0.2">
      <c r="A379" s="9">
        <v>375</v>
      </c>
      <c r="B379" s="5" t="s">
        <v>374</v>
      </c>
      <c r="C379" s="6">
        <v>95017</v>
      </c>
      <c r="D379" s="6">
        <v>94880</v>
      </c>
      <c r="E379" s="6">
        <v>94317</v>
      </c>
      <c r="F379" s="6">
        <v>93796</v>
      </c>
      <c r="G379" s="6">
        <v>93236</v>
      </c>
      <c r="H379" s="6">
        <v>92940</v>
      </c>
      <c r="I379" s="1" t="str">
        <f t="shared" si="10"/>
        <v xml:space="preserve"> Pennsylvania</v>
      </c>
      <c r="J379" s="1" t="str">
        <f t="shared" si="11"/>
        <v>Erie city</v>
      </c>
      <c r="K379" s="1">
        <f>IF(COUNTIF($I$5:I379,I379)=1,1,0)</f>
        <v>0</v>
      </c>
    </row>
    <row r="380" spans="1:11" x14ac:dyDescent="0.2">
      <c r="A380" s="9">
        <v>376</v>
      </c>
      <c r="B380" s="5" t="s">
        <v>375</v>
      </c>
      <c r="C380" s="6">
        <v>89811</v>
      </c>
      <c r="D380" s="6">
        <v>89870</v>
      </c>
      <c r="E380" s="6">
        <v>90499</v>
      </c>
      <c r="F380" s="6">
        <v>91235</v>
      </c>
      <c r="G380" s="6">
        <v>92169</v>
      </c>
      <c r="H380" s="6">
        <v>92912</v>
      </c>
      <c r="I380" s="1" t="str">
        <f t="shared" si="10"/>
        <v xml:space="preserve"> California</v>
      </c>
      <c r="J380" s="1" t="str">
        <f t="shared" si="11"/>
        <v>Hemet city</v>
      </c>
      <c r="K380" s="1">
        <f>IF(COUNTIF($I$5:I380,I380)=1,1,0)</f>
        <v>0</v>
      </c>
    </row>
    <row r="381" spans="1:11" x14ac:dyDescent="0.2">
      <c r="A381" s="9">
        <v>377</v>
      </c>
      <c r="B381" s="5" t="s">
        <v>376</v>
      </c>
      <c r="C381" s="6">
        <v>74801</v>
      </c>
      <c r="D381" s="6">
        <v>75496</v>
      </c>
      <c r="E381" s="6">
        <v>79804</v>
      </c>
      <c r="F381" s="6">
        <v>85341</v>
      </c>
      <c r="G381" s="6">
        <v>89452</v>
      </c>
      <c r="H381" s="6">
        <v>92875</v>
      </c>
      <c r="I381" s="1" t="str">
        <f t="shared" si="10"/>
        <v xml:space="preserve"> Florida</v>
      </c>
      <c r="J381" s="1" t="str">
        <f t="shared" si="11"/>
        <v>North Port city</v>
      </c>
      <c r="K381" s="1">
        <f>IF(COUNTIF($I$5:I381,I381)=1,1,0)</f>
        <v>0</v>
      </c>
    </row>
    <row r="382" spans="1:11" x14ac:dyDescent="0.2">
      <c r="A382" s="9">
        <v>378</v>
      </c>
      <c r="B382" s="5" t="s">
        <v>377</v>
      </c>
      <c r="C382" s="6">
        <v>97278</v>
      </c>
      <c r="D382" s="6">
        <v>96958</v>
      </c>
      <c r="E382" s="6">
        <v>95120</v>
      </c>
      <c r="F382" s="6">
        <v>93489</v>
      </c>
      <c r="G382" s="6">
        <v>93029</v>
      </c>
      <c r="H382" s="6">
        <v>92840</v>
      </c>
      <c r="I382" s="1" t="str">
        <f t="shared" si="10"/>
        <v xml:space="preserve"> Utah</v>
      </c>
      <c r="J382" s="1" t="str">
        <f t="shared" si="11"/>
        <v>Sandy city</v>
      </c>
      <c r="K382" s="1">
        <f>IF(COUNTIF($I$5:I382,I382)=1,1,0)</f>
        <v>0</v>
      </c>
    </row>
    <row r="383" spans="1:11" x14ac:dyDescent="0.2">
      <c r="A383" s="9">
        <v>379</v>
      </c>
      <c r="B383" s="5" t="s">
        <v>378</v>
      </c>
      <c r="C383" s="6">
        <v>92825</v>
      </c>
      <c r="D383" s="6">
        <v>92939</v>
      </c>
      <c r="E383" s="6">
        <v>92635</v>
      </c>
      <c r="F383" s="6">
        <v>93126</v>
      </c>
      <c r="G383" s="6">
        <v>92137</v>
      </c>
      <c r="H383" s="6">
        <v>92227</v>
      </c>
      <c r="I383" s="1" t="str">
        <f t="shared" si="10"/>
        <v xml:space="preserve"> Georgia</v>
      </c>
      <c r="J383" s="1" t="str">
        <f t="shared" si="11"/>
        <v>Roswell city</v>
      </c>
      <c r="K383" s="1">
        <f>IF(COUNTIF($I$5:I383,I383)=1,1,0)</f>
        <v>0</v>
      </c>
    </row>
    <row r="384" spans="1:11" x14ac:dyDescent="0.2">
      <c r="A384" s="9">
        <v>380</v>
      </c>
      <c r="B384" s="5" t="s">
        <v>379</v>
      </c>
      <c r="C384" s="6">
        <v>88317</v>
      </c>
      <c r="D384" s="6">
        <v>88396</v>
      </c>
      <c r="E384" s="6">
        <v>89330</v>
      </c>
      <c r="F384" s="6">
        <v>89641</v>
      </c>
      <c r="G384" s="6">
        <v>90730</v>
      </c>
      <c r="H384" s="6">
        <v>91961</v>
      </c>
      <c r="I384" s="1" t="str">
        <f t="shared" si="10"/>
        <v xml:space="preserve"> Illinois</v>
      </c>
      <c r="J384" s="1" t="str">
        <f t="shared" si="11"/>
        <v>Champaign city</v>
      </c>
      <c r="K384" s="1">
        <f>IF(COUNTIF($I$5:I384,I384)=1,1,0)</f>
        <v>0</v>
      </c>
    </row>
    <row r="385" spans="1:11" x14ac:dyDescent="0.2">
      <c r="A385" s="9">
        <v>381</v>
      </c>
      <c r="B385" s="5" t="s">
        <v>380</v>
      </c>
      <c r="C385" s="6">
        <v>91331</v>
      </c>
      <c r="D385" s="6">
        <v>91197</v>
      </c>
      <c r="E385" s="6">
        <v>91300</v>
      </c>
      <c r="F385" s="6">
        <v>91079</v>
      </c>
      <c r="G385" s="6">
        <v>91128</v>
      </c>
      <c r="H385" s="6">
        <v>91851</v>
      </c>
      <c r="I385" s="1" t="str">
        <f t="shared" si="10"/>
        <v xml:space="preserve"> New Hampshire</v>
      </c>
      <c r="J385" s="1" t="str">
        <f t="shared" si="11"/>
        <v>Nashua city</v>
      </c>
      <c r="K385" s="1">
        <f>IF(COUNTIF($I$5:I385,I385)=1,1,0)</f>
        <v>0</v>
      </c>
    </row>
    <row r="386" spans="1:11" x14ac:dyDescent="0.2">
      <c r="A386" s="9">
        <v>382</v>
      </c>
      <c r="B386" s="5" t="s">
        <v>381</v>
      </c>
      <c r="C386" s="6">
        <v>93638</v>
      </c>
      <c r="D386" s="6">
        <v>93463</v>
      </c>
      <c r="E386" s="6">
        <v>92506</v>
      </c>
      <c r="F386" s="6">
        <v>91788</v>
      </c>
      <c r="G386" s="6">
        <v>91336</v>
      </c>
      <c r="H386" s="6">
        <v>91601</v>
      </c>
      <c r="I386" s="1" t="str">
        <f t="shared" si="10"/>
        <v xml:space="preserve"> California</v>
      </c>
      <c r="J386" s="1" t="str">
        <f t="shared" si="11"/>
        <v>Mission Viejo city</v>
      </c>
      <c r="K386" s="1">
        <f>IF(COUNTIF($I$5:I386,I386)=1,1,0)</f>
        <v>0</v>
      </c>
    </row>
    <row r="387" spans="1:11" x14ac:dyDescent="0.2">
      <c r="A387" s="9">
        <v>383</v>
      </c>
      <c r="B387" s="5" t="s">
        <v>382</v>
      </c>
      <c r="C387" s="6">
        <v>83988</v>
      </c>
      <c r="D387" s="6">
        <v>84358</v>
      </c>
      <c r="E387" s="6">
        <v>85302</v>
      </c>
      <c r="F387" s="6">
        <v>88095</v>
      </c>
      <c r="G387" s="6">
        <v>90432</v>
      </c>
      <c r="H387" s="6">
        <v>91541</v>
      </c>
      <c r="I387" s="1" t="str">
        <f t="shared" si="10"/>
        <v xml:space="preserve"> Texas</v>
      </c>
      <c r="J387" s="1" t="str">
        <f t="shared" si="11"/>
        <v>Bryan city</v>
      </c>
      <c r="K387" s="1">
        <f>IF(COUNTIF($I$5:I387,I387)=1,1,0)</f>
        <v>0</v>
      </c>
    </row>
    <row r="388" spans="1:11" x14ac:dyDescent="0.2">
      <c r="A388" s="9">
        <v>384</v>
      </c>
      <c r="B388" s="5" t="s">
        <v>383</v>
      </c>
      <c r="C388" s="6">
        <v>95557</v>
      </c>
      <c r="D388" s="6">
        <v>95422</v>
      </c>
      <c r="E388" s="6">
        <v>93271</v>
      </c>
      <c r="F388" s="6">
        <v>92448</v>
      </c>
      <c r="G388" s="6">
        <v>91775</v>
      </c>
      <c r="H388" s="6">
        <v>91358</v>
      </c>
      <c r="I388" s="1" t="str">
        <f t="shared" si="10"/>
        <v xml:space="preserve"> California</v>
      </c>
      <c r="J388" s="1" t="str">
        <f t="shared" si="11"/>
        <v>Carson city</v>
      </c>
      <c r="K388" s="1">
        <f>IF(COUNTIF($I$5:I388,I388)=1,1,0)</f>
        <v>0</v>
      </c>
    </row>
    <row r="389" spans="1:11" x14ac:dyDescent="0.2">
      <c r="A389" s="9">
        <v>385</v>
      </c>
      <c r="B389" s="5" t="s">
        <v>384</v>
      </c>
      <c r="C389" s="6">
        <v>90810</v>
      </c>
      <c r="D389" s="6">
        <v>90546</v>
      </c>
      <c r="E389" s="6">
        <v>90018</v>
      </c>
      <c r="F389" s="6">
        <v>89540</v>
      </c>
      <c r="G389" s="6">
        <v>90383</v>
      </c>
      <c r="H389" s="6">
        <v>91193</v>
      </c>
      <c r="I389" s="1" t="str">
        <f t="shared" si="10"/>
        <v xml:space="preserve"> New Jersey</v>
      </c>
      <c r="J389" s="1" t="str">
        <f t="shared" si="11"/>
        <v>Trenton city</v>
      </c>
      <c r="K389" s="1">
        <f>IF(COUNTIF($I$5:I389,I389)=1,1,0)</f>
        <v>0</v>
      </c>
    </row>
    <row r="390" spans="1:11" x14ac:dyDescent="0.2">
      <c r="A390" s="9">
        <v>386</v>
      </c>
      <c r="B390" s="5" t="s">
        <v>385</v>
      </c>
      <c r="C390" s="6">
        <v>95728</v>
      </c>
      <c r="D390" s="6">
        <v>95406</v>
      </c>
      <c r="E390" s="6">
        <v>93351</v>
      </c>
      <c r="F390" s="6">
        <v>92139</v>
      </c>
      <c r="G390" s="6">
        <v>91486</v>
      </c>
      <c r="H390" s="6">
        <v>91129</v>
      </c>
      <c r="I390" s="1" t="str">
        <f t="shared" ref="I390:I453" si="12">_xlfn.TEXTAFTER(B390,",")</f>
        <v xml:space="preserve"> California</v>
      </c>
      <c r="J390" s="1" t="str">
        <f t="shared" ref="J390:J453" si="13">_xlfn.TEXTBEFORE(B390,", ")</f>
        <v>Compton city</v>
      </c>
      <c r="K390" s="1">
        <f>IF(COUNTIF($I$5:I390,I390)=1,1,0)</f>
        <v>0</v>
      </c>
    </row>
    <row r="391" spans="1:11" x14ac:dyDescent="0.2">
      <c r="A391" s="9">
        <v>387</v>
      </c>
      <c r="B391" s="5" t="s">
        <v>386</v>
      </c>
      <c r="C391" s="6">
        <v>92719</v>
      </c>
      <c r="D391" s="6">
        <v>92656</v>
      </c>
      <c r="E391" s="6">
        <v>91857</v>
      </c>
      <c r="F391" s="6">
        <v>91318</v>
      </c>
      <c r="G391" s="6">
        <v>90795</v>
      </c>
      <c r="H391" s="6">
        <v>90805</v>
      </c>
      <c r="I391" s="1" t="str">
        <f t="shared" si="12"/>
        <v xml:space="preserve"> California</v>
      </c>
      <c r="J391" s="1" t="str">
        <f t="shared" si="13"/>
        <v>South Gate city</v>
      </c>
      <c r="K391" s="1">
        <f>IF(COUNTIF($I$5:I391,I391)=1,1,0)</f>
        <v>0</v>
      </c>
    </row>
    <row r="392" spans="1:11" x14ac:dyDescent="0.2">
      <c r="A392" s="9">
        <v>388</v>
      </c>
      <c r="B392" s="5" t="s">
        <v>387</v>
      </c>
      <c r="C392" s="6">
        <v>93075</v>
      </c>
      <c r="D392" s="6">
        <v>92919</v>
      </c>
      <c r="E392" s="6">
        <v>91229</v>
      </c>
      <c r="F392" s="6">
        <v>90514</v>
      </c>
      <c r="G392" s="6">
        <v>90435</v>
      </c>
      <c r="H392" s="6">
        <v>90729</v>
      </c>
      <c r="I392" s="1" t="str">
        <f t="shared" si="12"/>
        <v xml:space="preserve"> California</v>
      </c>
      <c r="J392" s="1" t="str">
        <f t="shared" si="13"/>
        <v>Santa Monica city</v>
      </c>
      <c r="K392" s="1">
        <f>IF(COUNTIF($I$5:I392,I392)=1,1,0)</f>
        <v>0</v>
      </c>
    </row>
    <row r="393" spans="1:11" x14ac:dyDescent="0.2">
      <c r="A393" s="9">
        <v>389</v>
      </c>
      <c r="B393" s="5" t="s">
        <v>388</v>
      </c>
      <c r="C393" s="6">
        <v>88931</v>
      </c>
      <c r="D393" s="6">
        <v>88853</v>
      </c>
      <c r="E393" s="6">
        <v>88052</v>
      </c>
      <c r="F393" s="6">
        <v>88307</v>
      </c>
      <c r="G393" s="6">
        <v>89261</v>
      </c>
      <c r="H393" s="6">
        <v>90700</v>
      </c>
      <c r="I393" s="1" t="str">
        <f t="shared" si="12"/>
        <v xml:space="preserve"> Massachusetts</v>
      </c>
      <c r="J393" s="1" t="str">
        <f t="shared" si="13"/>
        <v>Newton city</v>
      </c>
      <c r="K393" s="1">
        <f>IF(COUNTIF($I$5:I393,I393)=1,1,0)</f>
        <v>0</v>
      </c>
    </row>
    <row r="394" spans="1:11" x14ac:dyDescent="0.2">
      <c r="A394" s="9">
        <v>390</v>
      </c>
      <c r="B394" s="5" t="s">
        <v>389</v>
      </c>
      <c r="C394" s="6">
        <v>87508</v>
      </c>
      <c r="D394" s="6">
        <v>87739</v>
      </c>
      <c r="E394" s="6">
        <v>88327</v>
      </c>
      <c r="F394" s="6">
        <v>89075</v>
      </c>
      <c r="G394" s="6">
        <v>89506</v>
      </c>
      <c r="H394" s="6">
        <v>90551</v>
      </c>
      <c r="I394" s="1" t="str">
        <f t="shared" si="12"/>
        <v xml:space="preserve"> New Mexico</v>
      </c>
      <c r="J394" s="1" t="str">
        <f t="shared" si="13"/>
        <v>Santa Fe city</v>
      </c>
      <c r="K394" s="1">
        <f>IF(COUNTIF($I$5:I394,I394)=1,1,0)</f>
        <v>0</v>
      </c>
    </row>
    <row r="395" spans="1:11" x14ac:dyDescent="0.2">
      <c r="A395" s="9">
        <v>391</v>
      </c>
      <c r="B395" s="5" t="s">
        <v>390</v>
      </c>
      <c r="C395" s="6">
        <v>89144</v>
      </c>
      <c r="D395" s="6">
        <v>89159</v>
      </c>
      <c r="E395" s="6">
        <v>89411</v>
      </c>
      <c r="F395" s="6">
        <v>90167</v>
      </c>
      <c r="G395" s="6">
        <v>89859</v>
      </c>
      <c r="H395" s="6">
        <v>90507</v>
      </c>
      <c r="I395" s="1" t="str">
        <f t="shared" si="12"/>
        <v xml:space="preserve"> Arkansas</v>
      </c>
      <c r="J395" s="1" t="str">
        <f t="shared" si="13"/>
        <v>Fort Smith city</v>
      </c>
      <c r="K395" s="1">
        <f>IF(COUNTIF($I$5:I395,I395)=1,1,0)</f>
        <v>0</v>
      </c>
    </row>
    <row r="396" spans="1:11" x14ac:dyDescent="0.2">
      <c r="A396" s="9">
        <v>391</v>
      </c>
      <c r="B396" s="5" t="s">
        <v>391</v>
      </c>
      <c r="C396" s="6">
        <v>86856</v>
      </c>
      <c r="D396" s="6">
        <v>86775</v>
      </c>
      <c r="E396" s="6">
        <v>86523</v>
      </c>
      <c r="F396" s="6">
        <v>87623</v>
      </c>
      <c r="G396" s="6">
        <v>89121</v>
      </c>
      <c r="H396" s="6">
        <v>90507</v>
      </c>
      <c r="I396" s="1" t="str">
        <f t="shared" si="12"/>
        <v xml:space="preserve"> Florida</v>
      </c>
      <c r="J396" s="1" t="str">
        <f t="shared" si="13"/>
        <v>Deerfield Beach city</v>
      </c>
      <c r="K396" s="1">
        <f>IF(COUNTIF($I$5:I396,I396)=1,1,0)</f>
        <v>0</v>
      </c>
    </row>
    <row r="397" spans="1:11" x14ac:dyDescent="0.2">
      <c r="A397" s="9">
        <v>393</v>
      </c>
      <c r="B397" s="5" t="s">
        <v>392</v>
      </c>
      <c r="C397" s="6">
        <v>89872</v>
      </c>
      <c r="D397" s="6">
        <v>89580</v>
      </c>
      <c r="E397" s="6">
        <v>89054</v>
      </c>
      <c r="F397" s="6">
        <v>88661</v>
      </c>
      <c r="G397" s="6">
        <v>89204</v>
      </c>
      <c r="H397" s="6">
        <v>90322</v>
      </c>
      <c r="I397" s="1" t="str">
        <f t="shared" si="12"/>
        <v xml:space="preserve"> New Jersey</v>
      </c>
      <c r="J397" s="1" t="str">
        <f t="shared" si="13"/>
        <v>Clifton city</v>
      </c>
      <c r="K397" s="1">
        <f>IF(COUNTIF($I$5:I397,I397)=1,1,0)</f>
        <v>0</v>
      </c>
    </row>
    <row r="398" spans="1:11" x14ac:dyDescent="0.2">
      <c r="A398" s="9">
        <v>394</v>
      </c>
      <c r="B398" s="5" t="s">
        <v>393</v>
      </c>
      <c r="C398" s="6">
        <v>90378</v>
      </c>
      <c r="D398" s="6">
        <v>90374</v>
      </c>
      <c r="E398" s="6">
        <v>91156</v>
      </c>
      <c r="F398" s="6">
        <v>90966</v>
      </c>
      <c r="G398" s="6">
        <v>90451</v>
      </c>
      <c r="H398" s="6">
        <v>90027</v>
      </c>
      <c r="I398" s="1" t="str">
        <f t="shared" si="12"/>
        <v xml:space="preserve"> Oklahoma</v>
      </c>
      <c r="J398" s="1" t="str">
        <f t="shared" si="13"/>
        <v>Lawton city</v>
      </c>
      <c r="K398" s="1">
        <f>IF(COUNTIF($I$5:I398,I398)=1,1,0)</f>
        <v>0</v>
      </c>
    </row>
    <row r="399" spans="1:11" x14ac:dyDescent="0.2">
      <c r="A399" s="9">
        <v>395</v>
      </c>
      <c r="B399" s="5" t="s">
        <v>394</v>
      </c>
      <c r="C399" s="6">
        <v>90818</v>
      </c>
      <c r="D399" s="6">
        <v>90775</v>
      </c>
      <c r="E399" s="6">
        <v>90190</v>
      </c>
      <c r="F399" s="6">
        <v>89660</v>
      </c>
      <c r="G399" s="6">
        <v>89263</v>
      </c>
      <c r="H399" s="6">
        <v>89537</v>
      </c>
      <c r="I399" s="1" t="str">
        <f t="shared" si="12"/>
        <v xml:space="preserve"> California</v>
      </c>
      <c r="J399" s="1" t="str">
        <f t="shared" si="13"/>
        <v>Westminster city</v>
      </c>
      <c r="K399" s="1">
        <f>IF(COUNTIF($I$5:I399,I399)=1,1,0)</f>
        <v>0</v>
      </c>
    </row>
    <row r="400" spans="1:11" x14ac:dyDescent="0.2">
      <c r="A400" s="9">
        <v>395</v>
      </c>
      <c r="B400" s="5" t="s">
        <v>395</v>
      </c>
      <c r="C400" s="6">
        <v>78134</v>
      </c>
      <c r="D400" s="6">
        <v>78395</v>
      </c>
      <c r="E400" s="6">
        <v>80123</v>
      </c>
      <c r="F400" s="6">
        <v>82776</v>
      </c>
      <c r="G400" s="6">
        <v>86251</v>
      </c>
      <c r="H400" s="6">
        <v>89537</v>
      </c>
      <c r="I400" s="1" t="str">
        <f t="shared" si="12"/>
        <v xml:space="preserve"> Maryland</v>
      </c>
      <c r="J400" s="1" t="str">
        <f t="shared" si="13"/>
        <v>Frederick city</v>
      </c>
      <c r="K400" s="1">
        <f>IF(COUNTIF($I$5:I400,I400)=1,1,0)</f>
        <v>0</v>
      </c>
    </row>
    <row r="401" spans="1:11" x14ac:dyDescent="0.2">
      <c r="A401" s="9">
        <v>397</v>
      </c>
      <c r="B401" s="5" t="s">
        <v>396</v>
      </c>
      <c r="C401" s="6">
        <v>87323</v>
      </c>
      <c r="D401" s="6">
        <v>87329</v>
      </c>
      <c r="E401" s="6">
        <v>87644</v>
      </c>
      <c r="F401" s="6">
        <v>88059</v>
      </c>
      <c r="G401" s="6">
        <v>88507</v>
      </c>
      <c r="H401" s="6">
        <v>89368</v>
      </c>
      <c r="I401" s="1" t="str">
        <f t="shared" si="12"/>
        <v xml:space="preserve"> Arkansas</v>
      </c>
      <c r="J401" s="1" t="str">
        <f t="shared" si="13"/>
        <v>Springdale city</v>
      </c>
      <c r="K401" s="1">
        <f>IF(COUNTIF($I$5:I401,I401)=1,1,0)</f>
        <v>0</v>
      </c>
    </row>
    <row r="402" spans="1:11" x14ac:dyDescent="0.2">
      <c r="A402" s="9">
        <v>398</v>
      </c>
      <c r="B402" s="5" t="s">
        <v>397</v>
      </c>
      <c r="C402" s="6">
        <v>89165</v>
      </c>
      <c r="D402" s="6">
        <v>88878</v>
      </c>
      <c r="E402" s="6">
        <v>88420</v>
      </c>
      <c r="F402" s="6">
        <v>88297</v>
      </c>
      <c r="G402" s="6">
        <v>88749</v>
      </c>
      <c r="H402" s="6">
        <v>89332</v>
      </c>
      <c r="I402" s="1" t="str">
        <f t="shared" si="12"/>
        <v xml:space="preserve"> Massachusetts</v>
      </c>
      <c r="J402" s="1" t="str">
        <f t="shared" si="13"/>
        <v>Lawrence city</v>
      </c>
      <c r="K402" s="1">
        <f>IF(COUNTIF($I$5:I402,I402)=1,1,0)</f>
        <v>0</v>
      </c>
    </row>
    <row r="403" spans="1:11" x14ac:dyDescent="0.2">
      <c r="A403" s="9">
        <v>399</v>
      </c>
      <c r="B403" s="5" t="s">
        <v>398</v>
      </c>
      <c r="C403" s="6">
        <v>87306</v>
      </c>
      <c r="D403" s="6">
        <v>87119</v>
      </c>
      <c r="E403" s="6">
        <v>87642</v>
      </c>
      <c r="F403" s="6">
        <v>87499</v>
      </c>
      <c r="G403" s="6">
        <v>87923</v>
      </c>
      <c r="H403" s="6">
        <v>89209</v>
      </c>
      <c r="I403" s="1" t="str">
        <f t="shared" si="12"/>
        <v xml:space="preserve"> Michigan</v>
      </c>
      <c r="J403" s="1" t="str">
        <f t="shared" si="13"/>
        <v>Troy city</v>
      </c>
      <c r="K403" s="1">
        <f>IF(COUNTIF($I$5:I403,I403)=1,1,0)</f>
        <v>0</v>
      </c>
    </row>
    <row r="404" spans="1:11" x14ac:dyDescent="0.2">
      <c r="A404" s="9">
        <v>400</v>
      </c>
      <c r="B404" s="5" t="s">
        <v>399</v>
      </c>
      <c r="C404" s="6">
        <v>83548</v>
      </c>
      <c r="D404" s="6">
        <v>84155</v>
      </c>
      <c r="E404" s="6">
        <v>85972</v>
      </c>
      <c r="F404" s="6">
        <v>87664</v>
      </c>
      <c r="G404" s="6">
        <v>88816</v>
      </c>
      <c r="H404" s="6">
        <v>89142</v>
      </c>
      <c r="I404" s="1" t="str">
        <f t="shared" si="12"/>
        <v xml:space="preserve"> Tennessee</v>
      </c>
      <c r="J404" s="1" t="str">
        <f t="shared" si="13"/>
        <v>Franklin city</v>
      </c>
      <c r="K404" s="1">
        <f>IF(COUNTIF($I$5:I404,I404)=1,1,0)</f>
        <v>0</v>
      </c>
    </row>
    <row r="405" spans="1:11" x14ac:dyDescent="0.2">
      <c r="A405" s="9">
        <v>401</v>
      </c>
      <c r="B405" s="5" t="s">
        <v>400</v>
      </c>
      <c r="C405" s="6">
        <v>86863</v>
      </c>
      <c r="D405" s="6">
        <v>86095</v>
      </c>
      <c r="E405" s="6">
        <v>87063</v>
      </c>
      <c r="F405" s="6">
        <v>87179</v>
      </c>
      <c r="G405" s="6">
        <v>87263</v>
      </c>
      <c r="H405" s="6">
        <v>88692</v>
      </c>
      <c r="I405" s="1" t="str">
        <f t="shared" si="12"/>
        <v xml:space="preserve"> Connecticut</v>
      </c>
      <c r="J405" s="1" t="str">
        <f t="shared" si="13"/>
        <v>Danbury city</v>
      </c>
      <c r="K405" s="1">
        <f>IF(COUNTIF($I$5:I405,I405)=1,1,0)</f>
        <v>0</v>
      </c>
    </row>
    <row r="406" spans="1:11" x14ac:dyDescent="0.2">
      <c r="A406" s="9">
        <v>402</v>
      </c>
      <c r="B406" s="5" t="s">
        <v>401</v>
      </c>
      <c r="C406" s="6">
        <v>87342</v>
      </c>
      <c r="D406" s="6">
        <v>87299</v>
      </c>
      <c r="E406" s="6">
        <v>86659</v>
      </c>
      <c r="F406" s="6">
        <v>86934</v>
      </c>
      <c r="G406" s="6">
        <v>87525</v>
      </c>
      <c r="H406" s="6">
        <v>88656</v>
      </c>
      <c r="I406" s="1" t="str">
        <f t="shared" si="12"/>
        <v xml:space="preserve"> Utah</v>
      </c>
      <c r="J406" s="1" t="str">
        <f t="shared" si="13"/>
        <v>Ogden city</v>
      </c>
      <c r="K406" s="1">
        <f>IF(COUNTIF($I$5:I406,I406)=1,1,0)</f>
        <v>0</v>
      </c>
    </row>
    <row r="407" spans="1:11" x14ac:dyDescent="0.2">
      <c r="A407" s="9">
        <v>403</v>
      </c>
      <c r="B407" s="5" t="s">
        <v>402</v>
      </c>
      <c r="C407" s="6">
        <v>85789</v>
      </c>
      <c r="D407" s="6">
        <v>85864</v>
      </c>
      <c r="E407" s="6">
        <v>86144</v>
      </c>
      <c r="F407" s="6">
        <v>86839</v>
      </c>
      <c r="G407" s="6">
        <v>87759</v>
      </c>
      <c r="H407" s="6">
        <v>88574</v>
      </c>
      <c r="I407" s="1" t="str">
        <f t="shared" si="12"/>
        <v xml:space="preserve"> Texas</v>
      </c>
      <c r="J407" s="1" t="str">
        <f t="shared" si="13"/>
        <v>Mission city</v>
      </c>
      <c r="K407" s="1">
        <f>IF(COUNTIF($I$5:I407,I407)=1,1,0)</f>
        <v>0</v>
      </c>
    </row>
    <row r="408" spans="1:11" x14ac:dyDescent="0.2">
      <c r="A408" s="9">
        <v>404</v>
      </c>
      <c r="B408" s="5" t="s">
        <v>403</v>
      </c>
      <c r="C408" s="6">
        <v>89309</v>
      </c>
      <c r="D408" s="6">
        <v>89122</v>
      </c>
      <c r="E408" s="6">
        <v>88746</v>
      </c>
      <c r="F408" s="6">
        <v>88346</v>
      </c>
      <c r="G408" s="6">
        <v>88321</v>
      </c>
      <c r="H408" s="6">
        <v>88570</v>
      </c>
      <c r="I408" s="1" t="str">
        <f t="shared" si="12"/>
        <v xml:space="preserve"> Illinois</v>
      </c>
      <c r="J408" s="1" t="str">
        <f t="shared" si="13"/>
        <v>Waukegan city</v>
      </c>
      <c r="K408" s="1">
        <f>IF(COUNTIF($I$5:I408,I408)=1,1,0)</f>
        <v>0</v>
      </c>
    </row>
    <row r="409" spans="1:11" x14ac:dyDescent="0.2">
      <c r="A409" s="9">
        <v>405</v>
      </c>
      <c r="B409" s="5" t="s">
        <v>404</v>
      </c>
      <c r="C409" s="6">
        <v>89978</v>
      </c>
      <c r="D409" s="6">
        <v>89853</v>
      </c>
      <c r="E409" s="6">
        <v>89457</v>
      </c>
      <c r="F409" s="6">
        <v>87899</v>
      </c>
      <c r="G409" s="6">
        <v>87718</v>
      </c>
      <c r="H409" s="6">
        <v>88344</v>
      </c>
      <c r="I409" s="1" t="str">
        <f t="shared" si="12"/>
        <v xml:space="preserve"> Minnesota</v>
      </c>
      <c r="J409" s="1" t="str">
        <f t="shared" si="13"/>
        <v>Bloomington city</v>
      </c>
      <c r="K409" s="1">
        <f>IF(COUNTIF($I$5:I409,I409)=1,1,0)</f>
        <v>0</v>
      </c>
    </row>
    <row r="410" spans="1:11" x14ac:dyDescent="0.2">
      <c r="A410" s="9">
        <v>406</v>
      </c>
      <c r="B410" s="5" t="s">
        <v>405</v>
      </c>
      <c r="C410" s="6">
        <v>80463</v>
      </c>
      <c r="D410" s="6">
        <v>80863</v>
      </c>
      <c r="E410" s="6">
        <v>81741</v>
      </c>
      <c r="F410" s="6">
        <v>83468</v>
      </c>
      <c r="G410" s="6">
        <v>85413</v>
      </c>
      <c r="H410" s="6">
        <v>88091</v>
      </c>
      <c r="I410" s="1" t="str">
        <f t="shared" si="12"/>
        <v xml:space="preserve"> California</v>
      </c>
      <c r="J410" s="1" t="str">
        <f t="shared" si="13"/>
        <v>Folsom city</v>
      </c>
      <c r="K410" s="1">
        <f>IF(COUNTIF($I$5:I410,I410)=1,1,0)</f>
        <v>0</v>
      </c>
    </row>
    <row r="411" spans="1:11" x14ac:dyDescent="0.2">
      <c r="A411" s="9">
        <v>407</v>
      </c>
      <c r="B411" s="5" t="s">
        <v>406</v>
      </c>
      <c r="C411" s="6">
        <v>86718</v>
      </c>
      <c r="D411" s="6">
        <v>86719</v>
      </c>
      <c r="E411" s="6">
        <v>86577</v>
      </c>
      <c r="F411" s="6">
        <v>86634</v>
      </c>
      <c r="G411" s="6">
        <v>87733</v>
      </c>
      <c r="H411" s="6">
        <v>87986</v>
      </c>
      <c r="I411" s="1" t="str">
        <f t="shared" si="12"/>
        <v xml:space="preserve"> Minnesota</v>
      </c>
      <c r="J411" s="1" t="str">
        <f t="shared" si="13"/>
        <v>Duluth city</v>
      </c>
      <c r="K411" s="1">
        <f>IF(COUNTIF($I$5:I411,I411)=1,1,0)</f>
        <v>0</v>
      </c>
    </row>
    <row r="412" spans="1:11" x14ac:dyDescent="0.2">
      <c r="A412" s="9">
        <v>408</v>
      </c>
      <c r="B412" s="5" t="s">
        <v>407</v>
      </c>
      <c r="C412" s="6">
        <v>84727</v>
      </c>
      <c r="D412" s="6">
        <v>85080</v>
      </c>
      <c r="E412" s="6">
        <v>86063</v>
      </c>
      <c r="F412" s="6">
        <v>86737</v>
      </c>
      <c r="G412" s="6">
        <v>87396</v>
      </c>
      <c r="H412" s="6">
        <v>87561</v>
      </c>
      <c r="I412" s="1" t="str">
        <f t="shared" si="12"/>
        <v xml:space="preserve"> Florida</v>
      </c>
      <c r="J412" s="1" t="str">
        <f t="shared" si="13"/>
        <v>Melbourne city</v>
      </c>
      <c r="K412" s="1">
        <f>IF(COUNTIF($I$5:I412,I412)=1,1,0)</f>
        <v>0</v>
      </c>
    </row>
    <row r="413" spans="1:11" x14ac:dyDescent="0.2">
      <c r="A413" s="9">
        <v>409</v>
      </c>
      <c r="B413" s="5" t="s">
        <v>408</v>
      </c>
      <c r="C413" s="6">
        <v>59212</v>
      </c>
      <c r="D413" s="6">
        <v>60847</v>
      </c>
      <c r="E413" s="6">
        <v>67075</v>
      </c>
      <c r="F413" s="6">
        <v>74510</v>
      </c>
      <c r="G413" s="6">
        <v>80507</v>
      </c>
      <c r="H413" s="6">
        <v>87511</v>
      </c>
      <c r="I413" s="1" t="str">
        <f t="shared" si="12"/>
        <v xml:space="preserve"> Texas</v>
      </c>
      <c r="J413" s="1" t="str">
        <f t="shared" si="13"/>
        <v>Leander city</v>
      </c>
      <c r="K413" s="1">
        <f>IF(COUNTIF($I$5:I413,I413)=1,1,0)</f>
        <v>0</v>
      </c>
    </row>
    <row r="414" spans="1:11" x14ac:dyDescent="0.2">
      <c r="A414" s="9">
        <v>410</v>
      </c>
      <c r="B414" s="5" t="s">
        <v>409</v>
      </c>
      <c r="C414" s="6">
        <v>82537</v>
      </c>
      <c r="D414" s="6">
        <v>82773</v>
      </c>
      <c r="E414" s="6">
        <v>82247</v>
      </c>
      <c r="F414" s="6">
        <v>82339</v>
      </c>
      <c r="G414" s="6">
        <v>83938</v>
      </c>
      <c r="H414" s="6">
        <v>87316</v>
      </c>
      <c r="I414" s="1" t="str">
        <f t="shared" si="12"/>
        <v xml:space="preserve"> California</v>
      </c>
      <c r="J414" s="1" t="str">
        <f t="shared" si="13"/>
        <v>Mountain View city</v>
      </c>
      <c r="K414" s="1">
        <f>IF(COUNTIF($I$5:I414,I414)=1,1,0)</f>
        <v>0</v>
      </c>
    </row>
    <row r="415" spans="1:11" x14ac:dyDescent="0.2">
      <c r="A415" s="9">
        <v>411</v>
      </c>
      <c r="B415" s="5" t="s">
        <v>410</v>
      </c>
      <c r="C415" s="6">
        <v>88806</v>
      </c>
      <c r="D415" s="6">
        <v>88768</v>
      </c>
      <c r="E415" s="6">
        <v>88203</v>
      </c>
      <c r="F415" s="6">
        <v>87535</v>
      </c>
      <c r="G415" s="6">
        <v>87140</v>
      </c>
      <c r="H415" s="6">
        <v>87291</v>
      </c>
      <c r="I415" s="1" t="str">
        <f t="shared" si="12"/>
        <v xml:space="preserve"> California</v>
      </c>
      <c r="J415" s="1" t="str">
        <f t="shared" si="13"/>
        <v>Santa Barbara city</v>
      </c>
      <c r="K415" s="1">
        <f>IF(COUNTIF($I$5:I415,I415)=1,1,0)</f>
        <v>0</v>
      </c>
    </row>
    <row r="416" spans="1:11" x14ac:dyDescent="0.2">
      <c r="A416" s="9">
        <v>412</v>
      </c>
      <c r="B416" s="5" t="s">
        <v>411</v>
      </c>
      <c r="C416" s="6">
        <v>85864</v>
      </c>
      <c r="D416" s="6">
        <v>85926</v>
      </c>
      <c r="E416" s="6">
        <v>85928</v>
      </c>
      <c r="F416" s="6">
        <v>86130</v>
      </c>
      <c r="G416" s="6">
        <v>86354</v>
      </c>
      <c r="H416" s="6">
        <v>87159</v>
      </c>
      <c r="I416" s="1" t="str">
        <f t="shared" si="12"/>
        <v xml:space="preserve"> California</v>
      </c>
      <c r="J416" s="1" t="str">
        <f t="shared" si="13"/>
        <v>Lake Forest city</v>
      </c>
      <c r="K416" s="1">
        <f>IF(COUNTIF($I$5:I416,I416)=1,1,0)</f>
        <v>0</v>
      </c>
    </row>
    <row r="417" spans="1:11" x14ac:dyDescent="0.2">
      <c r="A417" s="9">
        <v>413</v>
      </c>
      <c r="B417" s="5" t="s">
        <v>412</v>
      </c>
      <c r="C417" s="6">
        <v>87578</v>
      </c>
      <c r="D417" s="6">
        <v>87548</v>
      </c>
      <c r="E417" s="6">
        <v>87232</v>
      </c>
      <c r="F417" s="6">
        <v>86725</v>
      </c>
      <c r="G417" s="6">
        <v>86595</v>
      </c>
      <c r="H417" s="6">
        <v>86909</v>
      </c>
      <c r="I417" s="1" t="str">
        <f t="shared" si="12"/>
        <v xml:space="preserve"> California</v>
      </c>
      <c r="J417" s="1" t="str">
        <f t="shared" si="13"/>
        <v>Citrus Heights city</v>
      </c>
      <c r="K417" s="1">
        <f>IF(COUNTIF($I$5:I417,I417)=1,1,0)</f>
        <v>0</v>
      </c>
    </row>
    <row r="418" spans="1:11" x14ac:dyDescent="0.2">
      <c r="A418" s="9">
        <v>414</v>
      </c>
      <c r="B418" s="5" t="s">
        <v>413</v>
      </c>
      <c r="C418" s="6">
        <v>85894</v>
      </c>
      <c r="D418" s="6">
        <v>85888</v>
      </c>
      <c r="E418" s="6">
        <v>85904</v>
      </c>
      <c r="F418" s="6">
        <v>85568</v>
      </c>
      <c r="G418" s="6">
        <v>86284</v>
      </c>
      <c r="H418" s="6">
        <v>86875</v>
      </c>
      <c r="I418" s="1" t="str">
        <f t="shared" si="12"/>
        <v xml:space="preserve"> Iowa</v>
      </c>
      <c r="J418" s="1" t="str">
        <f t="shared" si="13"/>
        <v>Sioux City city</v>
      </c>
      <c r="K418" s="1">
        <f>IF(COUNTIF($I$5:I418,I418)=1,1,0)</f>
        <v>0</v>
      </c>
    </row>
    <row r="419" spans="1:11" x14ac:dyDescent="0.2">
      <c r="A419" s="9">
        <v>415</v>
      </c>
      <c r="B419" s="5" t="s">
        <v>414</v>
      </c>
      <c r="C419" s="6">
        <v>83940</v>
      </c>
      <c r="D419" s="6">
        <v>84000</v>
      </c>
      <c r="E419" s="6">
        <v>84683</v>
      </c>
      <c r="F419" s="6">
        <v>85190</v>
      </c>
      <c r="G419" s="6">
        <v>85915</v>
      </c>
      <c r="H419" s="6">
        <v>86728</v>
      </c>
      <c r="I419" s="1" t="str">
        <f t="shared" si="12"/>
        <v xml:space="preserve"> Washington</v>
      </c>
      <c r="J419" s="1" t="str">
        <f t="shared" si="13"/>
        <v>Kennewick city</v>
      </c>
      <c r="K419" s="1">
        <f>IF(COUNTIF($I$5:I419,I419)=1,1,0)</f>
        <v>0</v>
      </c>
    </row>
    <row r="420" spans="1:11" x14ac:dyDescent="0.2">
      <c r="A420" s="9">
        <v>416</v>
      </c>
      <c r="B420" s="5" t="s">
        <v>415</v>
      </c>
      <c r="C420" s="6">
        <v>90997</v>
      </c>
      <c r="D420" s="6">
        <v>90727</v>
      </c>
      <c r="E420" s="6">
        <v>88366</v>
      </c>
      <c r="F420" s="6">
        <v>86921</v>
      </c>
      <c r="G420" s="6">
        <v>86555</v>
      </c>
      <c r="H420" s="6">
        <v>86571</v>
      </c>
      <c r="I420" s="1" t="str">
        <f t="shared" si="12"/>
        <v xml:space="preserve"> California</v>
      </c>
      <c r="J420" s="1" t="str">
        <f t="shared" si="13"/>
        <v>San Leandro city</v>
      </c>
      <c r="K420" s="1">
        <f>IF(COUNTIF($I$5:I420,I420)=1,1,0)</f>
        <v>0</v>
      </c>
    </row>
    <row r="421" spans="1:11" x14ac:dyDescent="0.2">
      <c r="A421" s="9">
        <v>417</v>
      </c>
      <c r="B421" s="5" t="s">
        <v>416</v>
      </c>
      <c r="C421" s="6">
        <v>86028</v>
      </c>
      <c r="D421" s="6">
        <v>86330</v>
      </c>
      <c r="E421" s="6">
        <v>87208</v>
      </c>
      <c r="F421" s="6">
        <v>86084</v>
      </c>
      <c r="G421" s="6">
        <v>85667</v>
      </c>
      <c r="H421" s="6">
        <v>86301</v>
      </c>
      <c r="I421" s="1" t="str">
        <f t="shared" si="12"/>
        <v xml:space="preserve"> Oregon</v>
      </c>
      <c r="J421" s="1" t="str">
        <f t="shared" si="13"/>
        <v>Medford city</v>
      </c>
      <c r="K421" s="1">
        <f>IF(COUNTIF($I$5:I421,I421)=1,1,0)</f>
        <v>0</v>
      </c>
    </row>
    <row r="422" spans="1:11" x14ac:dyDescent="0.2">
      <c r="A422" s="9">
        <v>418</v>
      </c>
      <c r="B422" s="5" t="s">
        <v>417</v>
      </c>
      <c r="C422" s="6">
        <v>80357</v>
      </c>
      <c r="D422" s="6">
        <v>80579</v>
      </c>
      <c r="E422" s="6">
        <v>81612</v>
      </c>
      <c r="F422" s="6">
        <v>82177</v>
      </c>
      <c r="G422" s="6">
        <v>84645</v>
      </c>
      <c r="H422" s="6">
        <v>86199</v>
      </c>
      <c r="I422" s="1" t="str">
        <f t="shared" si="12"/>
        <v xml:space="preserve"> Georgia</v>
      </c>
      <c r="J422" s="1" t="str">
        <f t="shared" si="13"/>
        <v>Warner Robins city</v>
      </c>
      <c r="K422" s="1">
        <f>IF(COUNTIF($I$5:I422,I422)=1,1,0)</f>
        <v>0</v>
      </c>
    </row>
    <row r="423" spans="1:11" x14ac:dyDescent="0.2">
      <c r="A423" s="9">
        <v>419</v>
      </c>
      <c r="B423" s="5" t="s">
        <v>418</v>
      </c>
      <c r="C423" s="6">
        <v>77485</v>
      </c>
      <c r="D423" s="6">
        <v>77952</v>
      </c>
      <c r="E423" s="6">
        <v>80077</v>
      </c>
      <c r="F423" s="6">
        <v>83782</v>
      </c>
      <c r="G423" s="6">
        <v>85427</v>
      </c>
      <c r="H423" s="6">
        <v>86156</v>
      </c>
      <c r="I423" s="1" t="str">
        <f t="shared" si="12"/>
        <v xml:space="preserve"> Utah</v>
      </c>
      <c r="J423" s="1" t="str">
        <f t="shared" si="13"/>
        <v>South Jordan city</v>
      </c>
      <c r="K423" s="1">
        <f>IF(COUNTIF($I$5:I423,I423)=1,1,0)</f>
        <v>0</v>
      </c>
    </row>
    <row r="424" spans="1:11" x14ac:dyDescent="0.2">
      <c r="A424" s="9">
        <v>420</v>
      </c>
      <c r="B424" s="5" t="s">
        <v>419</v>
      </c>
      <c r="C424" s="6">
        <v>71599</v>
      </c>
      <c r="D424" s="6">
        <v>72298</v>
      </c>
      <c r="E424" s="6">
        <v>75377</v>
      </c>
      <c r="F424" s="6">
        <v>78436</v>
      </c>
      <c r="G424" s="6">
        <v>82735</v>
      </c>
      <c r="H424" s="6">
        <v>86015</v>
      </c>
      <c r="I424" s="1" t="str">
        <f t="shared" si="12"/>
        <v xml:space="preserve"> Florida</v>
      </c>
      <c r="J424" s="1" t="str">
        <f t="shared" si="13"/>
        <v>Daytona Beach city</v>
      </c>
      <c r="K424" s="1">
        <f>IF(COUNTIF($I$5:I424,I424)=1,1,0)</f>
        <v>0</v>
      </c>
    </row>
    <row r="425" spans="1:11" x14ac:dyDescent="0.2">
      <c r="A425" s="9">
        <v>421</v>
      </c>
      <c r="B425" s="5" t="s">
        <v>420</v>
      </c>
      <c r="C425" s="6">
        <v>85600</v>
      </c>
      <c r="D425" s="6">
        <v>85436</v>
      </c>
      <c r="E425" s="6">
        <v>84417</v>
      </c>
      <c r="F425" s="6">
        <v>84888</v>
      </c>
      <c r="G425" s="6">
        <v>85307</v>
      </c>
      <c r="H425" s="6">
        <v>86004</v>
      </c>
      <c r="I425" s="1" t="str">
        <f t="shared" si="12"/>
        <v xml:space="preserve"> Texas</v>
      </c>
      <c r="J425" s="1" t="str">
        <f t="shared" si="13"/>
        <v>Baytown city</v>
      </c>
      <c r="K425" s="1">
        <f>IF(COUNTIF($I$5:I425,I425)=1,1,0)</f>
        <v>0</v>
      </c>
    </row>
    <row r="426" spans="1:11" x14ac:dyDescent="0.2">
      <c r="A426" s="9">
        <v>422</v>
      </c>
      <c r="B426" s="5" t="s">
        <v>421</v>
      </c>
      <c r="C426" s="6">
        <v>86336</v>
      </c>
      <c r="D426" s="6">
        <v>86385</v>
      </c>
      <c r="E426" s="6">
        <v>86265</v>
      </c>
      <c r="F426" s="6">
        <v>85740</v>
      </c>
      <c r="G426" s="6">
        <v>85496</v>
      </c>
      <c r="H426" s="6">
        <v>85924</v>
      </c>
      <c r="I426" s="1" t="str">
        <f t="shared" si="12"/>
        <v xml:space="preserve"> California</v>
      </c>
      <c r="J426" s="1" t="str">
        <f t="shared" si="13"/>
        <v>San Ramon city</v>
      </c>
      <c r="K426" s="1">
        <f>IF(COUNTIF($I$5:I426,I426)=1,1,0)</f>
        <v>0</v>
      </c>
    </row>
    <row r="427" spans="1:11" x14ac:dyDescent="0.2">
      <c r="A427" s="9">
        <v>423</v>
      </c>
      <c r="B427" s="5" t="s">
        <v>422</v>
      </c>
      <c r="C427" s="6">
        <v>80737</v>
      </c>
      <c r="D427" s="6">
        <v>80522</v>
      </c>
      <c r="E427" s="6">
        <v>80696</v>
      </c>
      <c r="F427" s="6">
        <v>82754</v>
      </c>
      <c r="G427" s="6">
        <v>84331</v>
      </c>
      <c r="H427" s="6">
        <v>85796</v>
      </c>
      <c r="I427" s="1" t="str">
        <f t="shared" si="12"/>
        <v xml:space="preserve"> Florida</v>
      </c>
      <c r="J427" s="1" t="str">
        <f t="shared" si="13"/>
        <v>Homestead city</v>
      </c>
      <c r="K427" s="1">
        <f>IF(COUNTIF($I$5:I427,I427)=1,1,0)</f>
        <v>0</v>
      </c>
    </row>
    <row r="428" spans="1:11" x14ac:dyDescent="0.2">
      <c r="A428" s="9">
        <v>424</v>
      </c>
      <c r="B428" s="5" t="s">
        <v>423</v>
      </c>
      <c r="C428" s="6">
        <v>87865</v>
      </c>
      <c r="D428" s="6">
        <v>87654</v>
      </c>
      <c r="E428" s="6">
        <v>86394</v>
      </c>
      <c r="F428" s="6">
        <v>85755</v>
      </c>
      <c r="G428" s="6">
        <v>85402</v>
      </c>
      <c r="H428" s="6">
        <v>85589</v>
      </c>
      <c r="I428" s="1" t="str">
        <f t="shared" si="12"/>
        <v xml:space="preserve"> California</v>
      </c>
      <c r="J428" s="1" t="str">
        <f t="shared" si="13"/>
        <v>Whittier city</v>
      </c>
      <c r="K428" s="1">
        <f>IF(COUNTIF($I$5:I428,I428)=1,1,0)</f>
        <v>0</v>
      </c>
    </row>
    <row r="429" spans="1:11" x14ac:dyDescent="0.2">
      <c r="A429" s="9">
        <v>425</v>
      </c>
      <c r="B429" s="5" t="s">
        <v>424</v>
      </c>
      <c r="C429" s="6">
        <v>80434</v>
      </c>
      <c r="D429" s="6">
        <v>80561</v>
      </c>
      <c r="E429" s="6">
        <v>81386</v>
      </c>
      <c r="F429" s="6">
        <v>82646</v>
      </c>
      <c r="G429" s="6">
        <v>84231</v>
      </c>
      <c r="H429" s="6">
        <v>85535</v>
      </c>
      <c r="I429" s="1" t="str">
        <f t="shared" si="12"/>
        <v xml:space="preserve"> North Carolina</v>
      </c>
      <c r="J429" s="1" t="str">
        <f t="shared" si="13"/>
        <v>Gastonia city</v>
      </c>
      <c r="K429" s="1">
        <f>IF(COUNTIF($I$5:I429,I429)=1,1,0)</f>
        <v>0</v>
      </c>
    </row>
    <row r="430" spans="1:11" x14ac:dyDescent="0.2">
      <c r="A430" s="9">
        <v>426</v>
      </c>
      <c r="B430" s="5" t="s">
        <v>425</v>
      </c>
      <c r="C430" s="6">
        <v>87183</v>
      </c>
      <c r="D430" s="6">
        <v>87045</v>
      </c>
      <c r="E430" s="6">
        <v>85844</v>
      </c>
      <c r="F430" s="6">
        <v>85111</v>
      </c>
      <c r="G430" s="6">
        <v>84848</v>
      </c>
      <c r="H430" s="6">
        <v>85513</v>
      </c>
      <c r="I430" s="1" t="str">
        <f t="shared" si="12"/>
        <v xml:space="preserve"> Washington</v>
      </c>
      <c r="J430" s="1" t="str">
        <f t="shared" si="13"/>
        <v>Auburn city</v>
      </c>
      <c r="K430" s="1">
        <f>IF(COUNTIF($I$5:I430,I430)=1,1,0)</f>
        <v>0</v>
      </c>
    </row>
    <row r="431" spans="1:11" x14ac:dyDescent="0.2">
      <c r="A431" s="9">
        <v>427</v>
      </c>
      <c r="B431" s="5" t="s">
        <v>426</v>
      </c>
      <c r="C431" s="6">
        <v>79751</v>
      </c>
      <c r="D431" s="6">
        <v>80210</v>
      </c>
      <c r="E431" s="6">
        <v>81458</v>
      </c>
      <c r="F431" s="6">
        <v>82520</v>
      </c>
      <c r="G431" s="6">
        <v>84235</v>
      </c>
      <c r="H431" s="6">
        <v>85512</v>
      </c>
      <c r="I431" s="1" t="str">
        <f t="shared" si="12"/>
        <v xml:space="preserve"> New York</v>
      </c>
      <c r="J431" s="1" t="str">
        <f t="shared" si="13"/>
        <v>New Rochelle city</v>
      </c>
      <c r="K431" s="1">
        <f>IF(COUNTIF($I$5:I431,I431)=1,1,0)</f>
        <v>0</v>
      </c>
    </row>
    <row r="432" spans="1:11" x14ac:dyDescent="0.2">
      <c r="A432" s="9">
        <v>428</v>
      </c>
      <c r="B432" s="5" t="s">
        <v>427</v>
      </c>
      <c r="C432" s="6">
        <v>87966</v>
      </c>
      <c r="D432" s="6">
        <v>87875</v>
      </c>
      <c r="E432" s="6">
        <v>86054</v>
      </c>
      <c r="F432" s="6">
        <v>84513</v>
      </c>
      <c r="G432" s="6">
        <v>84223</v>
      </c>
      <c r="H432" s="6">
        <v>84867</v>
      </c>
      <c r="I432" s="1" t="str">
        <f t="shared" si="12"/>
        <v xml:space="preserve"> California</v>
      </c>
      <c r="J432" s="1" t="str">
        <f t="shared" si="13"/>
        <v>Livermore city</v>
      </c>
      <c r="K432" s="1">
        <f>IF(COUNTIF($I$5:I432,I432)=1,1,0)</f>
        <v>0</v>
      </c>
    </row>
    <row r="433" spans="1:11" x14ac:dyDescent="0.2">
      <c r="A433" s="9">
        <v>429</v>
      </c>
      <c r="B433" s="5" t="s">
        <v>428</v>
      </c>
      <c r="C433" s="6">
        <v>79191</v>
      </c>
      <c r="D433" s="6">
        <v>79179</v>
      </c>
      <c r="E433" s="6">
        <v>79578</v>
      </c>
      <c r="F433" s="6">
        <v>80798</v>
      </c>
      <c r="G433" s="6">
        <v>83028</v>
      </c>
      <c r="H433" s="6">
        <v>84756</v>
      </c>
      <c r="I433" s="1" t="str">
        <f t="shared" si="12"/>
        <v xml:space="preserve"> Florida</v>
      </c>
      <c r="J433" s="1" t="str">
        <f t="shared" si="13"/>
        <v>Kissimmee city</v>
      </c>
      <c r="K433" s="1">
        <f>IF(COUNTIF($I$5:I433,I433)=1,1,0)</f>
        <v>0</v>
      </c>
    </row>
    <row r="434" spans="1:11" x14ac:dyDescent="0.2">
      <c r="A434" s="9">
        <v>430</v>
      </c>
      <c r="B434" s="5" t="s">
        <v>429</v>
      </c>
      <c r="C434" s="6">
        <v>82885</v>
      </c>
      <c r="D434" s="6">
        <v>82772</v>
      </c>
      <c r="E434" s="6">
        <v>82574</v>
      </c>
      <c r="F434" s="6">
        <v>82943</v>
      </c>
      <c r="G434" s="6">
        <v>83412</v>
      </c>
      <c r="H434" s="6">
        <v>84448</v>
      </c>
      <c r="I434" s="1" t="str">
        <f t="shared" si="12"/>
        <v xml:space="preserve"> Rhode Island</v>
      </c>
      <c r="J434" s="1" t="str">
        <f t="shared" si="13"/>
        <v>Cranston city</v>
      </c>
      <c r="K434" s="1">
        <f>IF(COUNTIF($I$5:I434,I434)=1,1,0)</f>
        <v>0</v>
      </c>
    </row>
    <row r="435" spans="1:11" x14ac:dyDescent="0.2">
      <c r="A435" s="9">
        <v>431</v>
      </c>
      <c r="B435" s="5" t="s">
        <v>430</v>
      </c>
      <c r="C435" s="6">
        <v>81783</v>
      </c>
      <c r="D435" s="6">
        <v>82053</v>
      </c>
      <c r="E435" s="6">
        <v>83429</v>
      </c>
      <c r="F435" s="6">
        <v>82724</v>
      </c>
      <c r="G435" s="6">
        <v>83823</v>
      </c>
      <c r="H435" s="6">
        <v>84348</v>
      </c>
      <c r="I435" s="1" t="str">
        <f t="shared" si="12"/>
        <v xml:space="preserve"> Utah</v>
      </c>
      <c r="J435" s="1" t="str">
        <f t="shared" si="13"/>
        <v>Layton city</v>
      </c>
      <c r="K435" s="1">
        <f>IF(COUNTIF($I$5:I435,I435)=1,1,0)</f>
        <v>0</v>
      </c>
    </row>
    <row r="436" spans="1:11" x14ac:dyDescent="0.2">
      <c r="A436" s="9">
        <v>432</v>
      </c>
      <c r="B436" s="5" t="s">
        <v>431</v>
      </c>
      <c r="C436" s="6">
        <v>84002</v>
      </c>
      <c r="D436" s="6">
        <v>83825</v>
      </c>
      <c r="E436" s="6">
        <v>83405</v>
      </c>
      <c r="F436" s="6">
        <v>83039</v>
      </c>
      <c r="G436" s="6">
        <v>83180</v>
      </c>
      <c r="H436" s="6">
        <v>84173</v>
      </c>
      <c r="I436" s="1" t="str">
        <f t="shared" si="12"/>
        <v xml:space="preserve"> Michigan</v>
      </c>
      <c r="J436" s="1" t="str">
        <f t="shared" si="13"/>
        <v>Farmington Hills city</v>
      </c>
      <c r="K436" s="1">
        <f>IF(COUNTIF($I$5:I436,I436)=1,1,0)</f>
        <v>0</v>
      </c>
    </row>
    <row r="437" spans="1:11" x14ac:dyDescent="0.2">
      <c r="A437" s="9">
        <v>433</v>
      </c>
      <c r="B437" s="5" t="s">
        <v>432</v>
      </c>
      <c r="C437" s="6">
        <v>79332</v>
      </c>
      <c r="D437" s="6">
        <v>79631</v>
      </c>
      <c r="E437" s="6">
        <v>80811</v>
      </c>
      <c r="F437" s="6">
        <v>81846</v>
      </c>
      <c r="G437" s="6">
        <v>82835</v>
      </c>
      <c r="H437" s="6">
        <v>84113</v>
      </c>
      <c r="I437" s="1" t="str">
        <f t="shared" si="12"/>
        <v xml:space="preserve"> California</v>
      </c>
      <c r="J437" s="1" t="str">
        <f t="shared" si="13"/>
        <v>Rancho Cordova city</v>
      </c>
      <c r="K437" s="1">
        <f>IF(COUNTIF($I$5:I437,I437)=1,1,0)</f>
        <v>0</v>
      </c>
    </row>
    <row r="438" spans="1:11" x14ac:dyDescent="0.2">
      <c r="A438" s="9">
        <v>434</v>
      </c>
      <c r="B438" s="5" t="s">
        <v>433</v>
      </c>
      <c r="C438" s="6">
        <v>59489</v>
      </c>
      <c r="D438" s="6">
        <v>60872</v>
      </c>
      <c r="E438" s="6">
        <v>66290</v>
      </c>
      <c r="F438" s="6">
        <v>70732</v>
      </c>
      <c r="G438" s="6">
        <v>77495</v>
      </c>
      <c r="H438" s="6">
        <v>83781</v>
      </c>
      <c r="I438" s="1" t="str">
        <f t="shared" si="12"/>
        <v xml:space="preserve"> Arizona</v>
      </c>
      <c r="J438" s="1" t="str">
        <f t="shared" si="13"/>
        <v>Queen Creek town</v>
      </c>
      <c r="K438" s="1">
        <f>IF(COUNTIF($I$5:I438,I438)=1,1,0)</f>
        <v>0</v>
      </c>
    </row>
    <row r="439" spans="1:11" x14ac:dyDescent="0.2">
      <c r="A439" s="9">
        <v>435</v>
      </c>
      <c r="B439" s="5" t="s">
        <v>434</v>
      </c>
      <c r="C439" s="6">
        <v>76585</v>
      </c>
      <c r="D439" s="6">
        <v>77066</v>
      </c>
      <c r="E439" s="6">
        <v>79275</v>
      </c>
      <c r="F439" s="6">
        <v>80498</v>
      </c>
      <c r="G439" s="6">
        <v>82447</v>
      </c>
      <c r="H439" s="6">
        <v>83757</v>
      </c>
      <c r="I439" s="1" t="str">
        <f t="shared" si="12"/>
        <v xml:space="preserve"> Alabama</v>
      </c>
      <c r="J439" s="1" t="str">
        <f t="shared" si="13"/>
        <v>Auburn city</v>
      </c>
      <c r="K439" s="1">
        <f>IF(COUNTIF($I$5:I439,I439)=1,1,0)</f>
        <v>0</v>
      </c>
    </row>
    <row r="440" spans="1:11" x14ac:dyDescent="0.2">
      <c r="A440" s="9">
        <v>436</v>
      </c>
      <c r="B440" s="5" t="s">
        <v>435</v>
      </c>
      <c r="C440" s="6">
        <v>81765</v>
      </c>
      <c r="D440" s="6">
        <v>81771</v>
      </c>
      <c r="E440" s="6">
        <v>81732</v>
      </c>
      <c r="F440" s="6">
        <v>82743</v>
      </c>
      <c r="G440" s="6">
        <v>83521</v>
      </c>
      <c r="H440" s="6">
        <v>83668</v>
      </c>
      <c r="I440" s="1" t="str">
        <f t="shared" si="12"/>
        <v xml:space="preserve"> Texas</v>
      </c>
      <c r="J440" s="1" t="str">
        <f t="shared" si="13"/>
        <v>Longview city</v>
      </c>
      <c r="K440" s="1">
        <f>IF(COUNTIF($I$5:I440,I440)=1,1,0)</f>
        <v>0</v>
      </c>
    </row>
    <row r="441" spans="1:11" x14ac:dyDescent="0.2">
      <c r="A441" s="9">
        <v>437</v>
      </c>
      <c r="B441" s="5" t="s">
        <v>436</v>
      </c>
      <c r="C441" s="6">
        <v>88080</v>
      </c>
      <c r="D441" s="6">
        <v>87791</v>
      </c>
      <c r="E441" s="6">
        <v>85903</v>
      </c>
      <c r="F441" s="6">
        <v>84692</v>
      </c>
      <c r="G441" s="6">
        <v>83965</v>
      </c>
      <c r="H441" s="6">
        <v>83633</v>
      </c>
      <c r="I441" s="1" t="str">
        <f t="shared" si="12"/>
        <v xml:space="preserve"> California</v>
      </c>
      <c r="J441" s="1" t="str">
        <f t="shared" si="13"/>
        <v>Hawthorne city</v>
      </c>
      <c r="K441" s="1">
        <f>IF(COUNTIF($I$5:I441,I441)=1,1,0)</f>
        <v>0</v>
      </c>
    </row>
    <row r="442" spans="1:11" x14ac:dyDescent="0.2">
      <c r="A442" s="9">
        <v>438</v>
      </c>
      <c r="B442" s="5" t="s">
        <v>437</v>
      </c>
      <c r="C442" s="6">
        <v>75871</v>
      </c>
      <c r="D442" s="6">
        <v>76212</v>
      </c>
      <c r="E442" s="6">
        <v>76147</v>
      </c>
      <c r="F442" s="6">
        <v>78108</v>
      </c>
      <c r="G442" s="6">
        <v>81968</v>
      </c>
      <c r="H442" s="6">
        <v>83625</v>
      </c>
      <c r="I442" s="1" t="str">
        <f t="shared" si="12"/>
        <v xml:space="preserve"> Florida</v>
      </c>
      <c r="J442" s="1" t="str">
        <f t="shared" si="13"/>
        <v>Doral city</v>
      </c>
      <c r="K442" s="1">
        <f>IF(COUNTIF($I$5:I442,I442)=1,1,0)</f>
        <v>0</v>
      </c>
    </row>
    <row r="443" spans="1:11" x14ac:dyDescent="0.2">
      <c r="A443" s="9">
        <v>439</v>
      </c>
      <c r="B443" s="5" t="s">
        <v>438</v>
      </c>
      <c r="C443" s="6">
        <v>82831</v>
      </c>
      <c r="D443" s="6">
        <v>82862</v>
      </c>
      <c r="E443" s="6">
        <v>83059</v>
      </c>
      <c r="F443" s="6">
        <v>83141</v>
      </c>
      <c r="G443" s="6">
        <v>83237</v>
      </c>
      <c r="H443" s="6">
        <v>83554</v>
      </c>
      <c r="I443" s="1" t="str">
        <f t="shared" si="12"/>
        <v xml:space="preserve"> Rhode Island</v>
      </c>
      <c r="J443" s="1" t="str">
        <f t="shared" si="13"/>
        <v>Warwick city</v>
      </c>
      <c r="K443" s="1">
        <f>IF(COUNTIF($I$5:I443,I443)=1,1,0)</f>
        <v>0</v>
      </c>
    </row>
    <row r="444" spans="1:11" x14ac:dyDescent="0.2">
      <c r="A444" s="9">
        <v>440</v>
      </c>
      <c r="B444" s="5" t="s">
        <v>439</v>
      </c>
      <c r="C444" s="6">
        <v>82897</v>
      </c>
      <c r="D444" s="6">
        <v>82475</v>
      </c>
      <c r="E444" s="6">
        <v>80893</v>
      </c>
      <c r="F444" s="6">
        <v>81240</v>
      </c>
      <c r="G444" s="6">
        <v>82248</v>
      </c>
      <c r="H444" s="6">
        <v>83251</v>
      </c>
      <c r="I444" s="1" t="str">
        <f t="shared" si="12"/>
        <v xml:space="preserve"> Florida</v>
      </c>
      <c r="J444" s="1" t="str">
        <f t="shared" si="13"/>
        <v>Miami Beach city</v>
      </c>
      <c r="K444" s="1">
        <f>IF(COUNTIF($I$5:I444,I444)=1,1,0)</f>
        <v>0</v>
      </c>
    </row>
    <row r="445" spans="1:11" x14ac:dyDescent="0.2">
      <c r="A445" s="9">
        <v>441</v>
      </c>
      <c r="B445" s="5" t="s">
        <v>440</v>
      </c>
      <c r="C445" s="6">
        <v>73158</v>
      </c>
      <c r="D445" s="6">
        <v>73888</v>
      </c>
      <c r="E445" s="6">
        <v>76657</v>
      </c>
      <c r="F445" s="6">
        <v>80235</v>
      </c>
      <c r="G445" s="6">
        <v>81654</v>
      </c>
      <c r="H445" s="6">
        <v>83213</v>
      </c>
      <c r="I445" s="1" t="str">
        <f t="shared" si="12"/>
        <v xml:space="preserve"> Colorado</v>
      </c>
      <c r="J445" s="1" t="str">
        <f t="shared" si="13"/>
        <v>Castle Rock town</v>
      </c>
      <c r="K445" s="1">
        <f>IF(COUNTIF($I$5:I445,I445)=1,1,0)</f>
        <v>0</v>
      </c>
    </row>
    <row r="446" spans="1:11" x14ac:dyDescent="0.2">
      <c r="A446" s="9">
        <v>442</v>
      </c>
      <c r="B446" s="5" t="s">
        <v>441</v>
      </c>
      <c r="C446" s="6">
        <v>80201</v>
      </c>
      <c r="D446" s="6">
        <v>80474</v>
      </c>
      <c r="E446" s="6">
        <v>80092</v>
      </c>
      <c r="F446" s="6">
        <v>81351</v>
      </c>
      <c r="G446" s="6">
        <v>82361</v>
      </c>
      <c r="H446" s="6">
        <v>83095</v>
      </c>
      <c r="I446" s="1" t="str">
        <f t="shared" si="12"/>
        <v xml:space="preserve"> Florida</v>
      </c>
      <c r="J446" s="1" t="str">
        <f t="shared" si="13"/>
        <v>Boynton Beach city</v>
      </c>
      <c r="K446" s="1">
        <f>IF(COUNTIF($I$5:I446,I446)=1,1,0)</f>
        <v>0</v>
      </c>
    </row>
    <row r="447" spans="1:11" x14ac:dyDescent="0.2">
      <c r="A447" s="9">
        <v>443</v>
      </c>
      <c r="B447" s="5" t="s">
        <v>442</v>
      </c>
      <c r="C447" s="6">
        <v>78703</v>
      </c>
      <c r="D447" s="6">
        <v>78828</v>
      </c>
      <c r="E447" s="6">
        <v>79502</v>
      </c>
      <c r="F447" s="6">
        <v>79894</v>
      </c>
      <c r="G447" s="6">
        <v>81194</v>
      </c>
      <c r="H447" s="6">
        <v>83032</v>
      </c>
      <c r="I447" s="1" t="str">
        <f t="shared" si="12"/>
        <v xml:space="preserve"> California</v>
      </c>
      <c r="J447" s="1" t="str">
        <f t="shared" si="13"/>
        <v>Perris city</v>
      </c>
      <c r="K447" s="1">
        <f>IF(COUNTIF($I$5:I447,I447)=1,1,0)</f>
        <v>0</v>
      </c>
    </row>
    <row r="448" spans="1:11" x14ac:dyDescent="0.2">
      <c r="A448" s="9">
        <v>444</v>
      </c>
      <c r="B448" s="5" t="s">
        <v>443</v>
      </c>
      <c r="C448" s="6">
        <v>84304</v>
      </c>
      <c r="D448" s="6">
        <v>83875</v>
      </c>
      <c r="E448" s="6">
        <v>81633</v>
      </c>
      <c r="F448" s="6">
        <v>81720</v>
      </c>
      <c r="G448" s="6">
        <v>81965</v>
      </c>
      <c r="H448" s="6">
        <v>82982</v>
      </c>
      <c r="I448" s="1" t="str">
        <f t="shared" si="12"/>
        <v xml:space="preserve"> California</v>
      </c>
      <c r="J448" s="1" t="str">
        <f t="shared" si="13"/>
        <v>Redwood City city</v>
      </c>
      <c r="K448" s="1">
        <f>IF(COUNTIF($I$5:I448,I448)=1,1,0)</f>
        <v>0</v>
      </c>
    </row>
    <row r="449" spans="1:11" x14ac:dyDescent="0.2">
      <c r="A449" s="9">
        <v>445</v>
      </c>
      <c r="B449" s="5" t="s">
        <v>444</v>
      </c>
      <c r="C449" s="6">
        <v>85229</v>
      </c>
      <c r="D449" s="6">
        <v>85163</v>
      </c>
      <c r="E449" s="6">
        <v>84343</v>
      </c>
      <c r="F449" s="6">
        <v>83648</v>
      </c>
      <c r="G449" s="6">
        <v>83091</v>
      </c>
      <c r="H449" s="6">
        <v>82970</v>
      </c>
      <c r="I449" s="1" t="str">
        <f t="shared" si="12"/>
        <v xml:space="preserve"> California</v>
      </c>
      <c r="J449" s="1" t="str">
        <f t="shared" si="13"/>
        <v>Newport Beach city</v>
      </c>
      <c r="K449" s="1">
        <f>IF(COUNTIF($I$5:I449,I449)=1,1,0)</f>
        <v>0</v>
      </c>
    </row>
    <row r="450" spans="1:11" x14ac:dyDescent="0.2">
      <c r="A450" s="9">
        <v>446</v>
      </c>
      <c r="B450" s="5" t="s">
        <v>445</v>
      </c>
      <c r="C450" s="6">
        <v>86460</v>
      </c>
      <c r="D450" s="6">
        <v>86216</v>
      </c>
      <c r="E450" s="6">
        <v>84505</v>
      </c>
      <c r="F450" s="6">
        <v>83481</v>
      </c>
      <c r="G450" s="6">
        <v>82333</v>
      </c>
      <c r="H450" s="6">
        <v>82893</v>
      </c>
      <c r="I450" s="1" t="str">
        <f t="shared" si="12"/>
        <v xml:space="preserve"> Minnesota</v>
      </c>
      <c r="J450" s="1" t="str">
        <f t="shared" si="13"/>
        <v>Brooklyn Park city</v>
      </c>
      <c r="K450" s="1">
        <f>IF(COUNTIF($I$5:I450,I450)=1,1,0)</f>
        <v>0</v>
      </c>
    </row>
    <row r="451" spans="1:11" x14ac:dyDescent="0.2">
      <c r="A451" s="9">
        <v>447</v>
      </c>
      <c r="B451" s="5" t="s">
        <v>446</v>
      </c>
      <c r="C451" s="6">
        <v>85408</v>
      </c>
      <c r="D451" s="6">
        <v>85126</v>
      </c>
      <c r="E451" s="6">
        <v>84267</v>
      </c>
      <c r="F451" s="6">
        <v>83263</v>
      </c>
      <c r="G451" s="6">
        <v>82724</v>
      </c>
      <c r="H451" s="6">
        <v>82745</v>
      </c>
      <c r="I451" s="1" t="str">
        <f t="shared" si="12"/>
        <v xml:space="preserve"> Michigan</v>
      </c>
      <c r="J451" s="1" t="str">
        <f t="shared" si="13"/>
        <v>Westland city</v>
      </c>
      <c r="K451" s="1">
        <f>IF(COUNTIF($I$5:I451,I451)=1,1,0)</f>
        <v>0</v>
      </c>
    </row>
    <row r="452" spans="1:11" x14ac:dyDescent="0.2">
      <c r="A452" s="9">
        <v>448</v>
      </c>
      <c r="B452" s="5" t="s">
        <v>447</v>
      </c>
      <c r="C452" s="6">
        <v>84024</v>
      </c>
      <c r="D452" s="6">
        <v>83870</v>
      </c>
      <c r="E452" s="6">
        <v>83023</v>
      </c>
      <c r="F452" s="6">
        <v>82606</v>
      </c>
      <c r="G452" s="6">
        <v>82394</v>
      </c>
      <c r="H452" s="6">
        <v>82611</v>
      </c>
      <c r="I452" s="1" t="str">
        <f t="shared" si="12"/>
        <v xml:space="preserve"> California</v>
      </c>
      <c r="J452" s="1" t="str">
        <f t="shared" si="13"/>
        <v>Buena Park city</v>
      </c>
      <c r="K452" s="1">
        <f>IF(COUNTIF($I$5:I452,I452)=1,1,0)</f>
        <v>0</v>
      </c>
    </row>
    <row r="453" spans="1:11" x14ac:dyDescent="0.2">
      <c r="A453" s="9">
        <v>449</v>
      </c>
      <c r="B453" s="5" t="s">
        <v>448</v>
      </c>
      <c r="C453" s="6">
        <v>78555</v>
      </c>
      <c r="D453" s="6">
        <v>78841</v>
      </c>
      <c r="E453" s="6">
        <v>78767</v>
      </c>
      <c r="F453" s="6">
        <v>79741</v>
      </c>
      <c r="G453" s="6">
        <v>80976</v>
      </c>
      <c r="H453" s="6">
        <v>82384</v>
      </c>
      <c r="I453" s="1" t="str">
        <f t="shared" si="12"/>
        <v xml:space="preserve"> Arkansas</v>
      </c>
      <c r="J453" s="1" t="str">
        <f t="shared" si="13"/>
        <v>Jonesboro city</v>
      </c>
      <c r="K453" s="1">
        <f>IF(COUNTIF($I$5:I453,I453)=1,1,0)</f>
        <v>0</v>
      </c>
    </row>
    <row r="454" spans="1:11" x14ac:dyDescent="0.2">
      <c r="A454" s="9">
        <v>450</v>
      </c>
      <c r="B454" s="5" t="s">
        <v>449</v>
      </c>
      <c r="C454" s="6">
        <v>82681</v>
      </c>
      <c r="D454" s="6">
        <v>82630</v>
      </c>
      <c r="E454" s="6">
        <v>82586</v>
      </c>
      <c r="F454" s="6">
        <v>82835</v>
      </c>
      <c r="G454" s="6">
        <v>82756</v>
      </c>
      <c r="H454" s="6">
        <v>82337</v>
      </c>
      <c r="I454" s="1" t="str">
        <f t="shared" ref="I454:I517" si="14">_xlfn.TEXTAFTER(B454,",")</f>
        <v xml:space="preserve"> Florida</v>
      </c>
      <c r="J454" s="1" t="str">
        <f t="shared" ref="J454:J517" si="15">_xlfn.TEXTBEFORE(B454,", ")</f>
        <v>Largo city</v>
      </c>
      <c r="K454" s="1">
        <f>IF(COUNTIF($I$5:I454,I454)=1,1,0)</f>
        <v>0</v>
      </c>
    </row>
    <row r="455" spans="1:11" x14ac:dyDescent="0.2">
      <c r="A455" s="9">
        <v>451</v>
      </c>
      <c r="B455" s="5" t="s">
        <v>450</v>
      </c>
      <c r="C455" s="6">
        <v>73269</v>
      </c>
      <c r="D455" s="6">
        <v>73374</v>
      </c>
      <c r="E455" s="6">
        <v>74989</v>
      </c>
      <c r="F455" s="6">
        <v>76503</v>
      </c>
      <c r="G455" s="6">
        <v>79690</v>
      </c>
      <c r="H455" s="6">
        <v>82195</v>
      </c>
      <c r="I455" s="1" t="str">
        <f t="shared" si="14"/>
        <v xml:space="preserve"> Washington</v>
      </c>
      <c r="J455" s="1" t="str">
        <f t="shared" si="15"/>
        <v>Redmond city</v>
      </c>
      <c r="K455" s="1">
        <f>IF(COUNTIF($I$5:I455,I455)=1,1,0)</f>
        <v>0</v>
      </c>
    </row>
    <row r="456" spans="1:11" x14ac:dyDescent="0.2">
      <c r="A456" s="9">
        <v>452</v>
      </c>
      <c r="B456" s="5" t="s">
        <v>451</v>
      </c>
      <c r="C456" s="6">
        <v>81048</v>
      </c>
      <c r="D456" s="6">
        <v>80901</v>
      </c>
      <c r="E456" s="6">
        <v>80263</v>
      </c>
      <c r="F456" s="6">
        <v>80640</v>
      </c>
      <c r="G456" s="6">
        <v>81240</v>
      </c>
      <c r="H456" s="6">
        <v>82149</v>
      </c>
      <c r="I456" s="1" t="str">
        <f t="shared" si="14"/>
        <v xml:space="preserve"> Massachusetts</v>
      </c>
      <c r="J456" s="1" t="str">
        <f t="shared" si="15"/>
        <v>Somerville city</v>
      </c>
      <c r="K456" s="1">
        <f>IF(COUNTIF($I$5:I456,I456)=1,1,0)</f>
        <v>0</v>
      </c>
    </row>
    <row r="457" spans="1:11" x14ac:dyDescent="0.2">
      <c r="A457" s="9">
        <v>453</v>
      </c>
      <c r="B457" s="5" t="s">
        <v>452</v>
      </c>
      <c r="C457" s="6">
        <v>85289</v>
      </c>
      <c r="D457" s="6">
        <v>84920</v>
      </c>
      <c r="E457" s="6">
        <v>83258</v>
      </c>
      <c r="F457" s="6">
        <v>82046</v>
      </c>
      <c r="G457" s="6">
        <v>81675</v>
      </c>
      <c r="H457" s="6">
        <v>82090</v>
      </c>
      <c r="I457" s="1" t="str">
        <f t="shared" si="14"/>
        <v xml:space="preserve"> Illinois</v>
      </c>
      <c r="J457" s="1" t="str">
        <f t="shared" si="15"/>
        <v>Cicero town</v>
      </c>
      <c r="K457" s="1">
        <f>IF(COUNTIF($I$5:I457,I457)=1,1,0)</f>
        <v>0</v>
      </c>
    </row>
    <row r="458" spans="1:11" x14ac:dyDescent="0.2">
      <c r="A458" s="9">
        <v>454</v>
      </c>
      <c r="B458" s="5" t="s">
        <v>453</v>
      </c>
      <c r="C458" s="6">
        <v>77345</v>
      </c>
      <c r="D458" s="6">
        <v>77686</v>
      </c>
      <c r="E458" s="6">
        <v>78762</v>
      </c>
      <c r="F458" s="6">
        <v>79351</v>
      </c>
      <c r="G458" s="6">
        <v>80343</v>
      </c>
      <c r="H458" s="6">
        <v>81724</v>
      </c>
      <c r="I458" s="1" t="str">
        <f t="shared" si="14"/>
        <v xml:space="preserve"> Washington</v>
      </c>
      <c r="J458" s="1" t="str">
        <f t="shared" si="15"/>
        <v>Pasco city</v>
      </c>
      <c r="K458" s="1">
        <f>IF(COUNTIF($I$5:I458,I458)=1,1,0)</f>
        <v>0</v>
      </c>
    </row>
    <row r="459" spans="1:11" x14ac:dyDescent="0.2">
      <c r="A459" s="9">
        <v>455</v>
      </c>
      <c r="B459" s="5" t="s">
        <v>454</v>
      </c>
      <c r="C459" s="6">
        <v>82444</v>
      </c>
      <c r="D459" s="6">
        <v>82585</v>
      </c>
      <c r="E459" s="6">
        <v>82196</v>
      </c>
      <c r="F459" s="6">
        <v>82616</v>
      </c>
      <c r="G459" s="6">
        <v>81508</v>
      </c>
      <c r="H459" s="6">
        <v>81167</v>
      </c>
      <c r="I459" s="1" t="str">
        <f t="shared" si="14"/>
        <v xml:space="preserve"> Georgia</v>
      </c>
      <c r="J459" s="1" t="str">
        <f t="shared" si="15"/>
        <v>Johns Creek city</v>
      </c>
      <c r="K459" s="1">
        <f>IF(COUNTIF($I$5:I459,I459)=1,1,0)</f>
        <v>0</v>
      </c>
    </row>
    <row r="460" spans="1:11" x14ac:dyDescent="0.2">
      <c r="A460" s="9">
        <v>456</v>
      </c>
      <c r="B460" s="5" t="s">
        <v>455</v>
      </c>
      <c r="C460" s="6">
        <v>84938</v>
      </c>
      <c r="D460" s="6">
        <v>84885</v>
      </c>
      <c r="E460" s="6">
        <v>80469</v>
      </c>
      <c r="F460" s="6">
        <v>79236</v>
      </c>
      <c r="G460" s="6">
        <v>79937</v>
      </c>
      <c r="H460" s="6">
        <v>81157</v>
      </c>
      <c r="I460" s="1" t="str">
        <f t="shared" si="14"/>
        <v xml:space="preserve"> Louisiana</v>
      </c>
      <c r="J460" s="1" t="str">
        <f t="shared" si="15"/>
        <v>Lake Charles city</v>
      </c>
      <c r="K460" s="1">
        <f>IF(COUNTIF($I$5:I460,I460)=1,1,0)</f>
        <v>0</v>
      </c>
    </row>
    <row r="461" spans="1:11" x14ac:dyDescent="0.2">
      <c r="A461" s="9">
        <v>457</v>
      </c>
      <c r="B461" s="5" t="s">
        <v>456</v>
      </c>
      <c r="C461" s="6">
        <v>79731</v>
      </c>
      <c r="D461" s="6">
        <v>79845</v>
      </c>
      <c r="E461" s="6">
        <v>79627</v>
      </c>
      <c r="F461" s="6">
        <v>80311</v>
      </c>
      <c r="G461" s="6">
        <v>80760</v>
      </c>
      <c r="H461" s="6">
        <v>81142</v>
      </c>
      <c r="I461" s="1" t="str">
        <f t="shared" si="14"/>
        <v xml:space="preserve"> Texas</v>
      </c>
      <c r="J461" s="1" t="str">
        <f t="shared" si="15"/>
        <v>Pharr city</v>
      </c>
      <c r="K461" s="1">
        <f>IF(COUNTIF($I$5:I461,I461)=1,1,0)</f>
        <v>0</v>
      </c>
    </row>
    <row r="462" spans="1:11" x14ac:dyDescent="0.2">
      <c r="A462" s="9">
        <v>458</v>
      </c>
      <c r="B462" s="5" t="s">
        <v>457</v>
      </c>
      <c r="C462" s="6">
        <v>76367</v>
      </c>
      <c r="D462" s="6">
        <v>76375</v>
      </c>
      <c r="E462" s="6">
        <v>77018</v>
      </c>
      <c r="F462" s="6">
        <v>77963</v>
      </c>
      <c r="G462" s="6">
        <v>79522</v>
      </c>
      <c r="H462" s="6">
        <v>81102</v>
      </c>
      <c r="I462" s="1" t="str">
        <f t="shared" si="14"/>
        <v xml:space="preserve"> Colorado</v>
      </c>
      <c r="J462" s="1" t="str">
        <f t="shared" si="15"/>
        <v>Loveland city</v>
      </c>
      <c r="K462" s="1">
        <f>IF(COUNTIF($I$5:I462,I462)=1,1,0)</f>
        <v>0</v>
      </c>
    </row>
    <row r="463" spans="1:11" x14ac:dyDescent="0.2">
      <c r="A463" s="9">
        <v>459</v>
      </c>
      <c r="B463" s="5" t="s">
        <v>458</v>
      </c>
      <c r="C463" s="6">
        <v>72636</v>
      </c>
      <c r="D463" s="6">
        <v>72806</v>
      </c>
      <c r="E463" s="6">
        <v>74494</v>
      </c>
      <c r="F463" s="6">
        <v>76976</v>
      </c>
      <c r="G463" s="6">
        <v>79063</v>
      </c>
      <c r="H463" s="6">
        <v>80803</v>
      </c>
      <c r="I463" s="1" t="str">
        <f t="shared" si="14"/>
        <v xml:space="preserve"> Texas</v>
      </c>
      <c r="J463" s="1" t="str">
        <f t="shared" si="15"/>
        <v>Mansfield city</v>
      </c>
      <c r="K463" s="1">
        <f>IF(COUNTIF($I$5:I463,I463)=1,1,0)</f>
        <v>0</v>
      </c>
    </row>
    <row r="464" spans="1:11" x14ac:dyDescent="0.2">
      <c r="A464" s="9">
        <v>460</v>
      </c>
      <c r="B464" s="5" t="s">
        <v>459</v>
      </c>
      <c r="C464" s="6">
        <v>75105</v>
      </c>
      <c r="D464" s="6">
        <v>75480</v>
      </c>
      <c r="E464" s="6">
        <v>77109</v>
      </c>
      <c r="F464" s="6">
        <v>78685</v>
      </c>
      <c r="G464" s="6">
        <v>79658</v>
      </c>
      <c r="H464" s="6">
        <v>80596</v>
      </c>
      <c r="I464" s="1" t="str">
        <f t="shared" si="14"/>
        <v xml:space="preserve"> Minnesota</v>
      </c>
      <c r="J464" s="1" t="str">
        <f t="shared" si="15"/>
        <v>Woodbury city</v>
      </c>
      <c r="K464" s="1">
        <f>IF(COUNTIF($I$5:I464,I464)=1,1,0)</f>
        <v>0</v>
      </c>
    </row>
    <row r="465" spans="1:11" x14ac:dyDescent="0.2">
      <c r="A465" s="9">
        <v>461</v>
      </c>
      <c r="B465" s="5" t="s">
        <v>460</v>
      </c>
      <c r="C465" s="6">
        <v>79017</v>
      </c>
      <c r="D465" s="6">
        <v>78993</v>
      </c>
      <c r="E465" s="6">
        <v>79137</v>
      </c>
      <c r="F465" s="6">
        <v>79279</v>
      </c>
      <c r="G465" s="6">
        <v>79775</v>
      </c>
      <c r="H465" s="6">
        <v>80301</v>
      </c>
      <c r="I465" s="1" t="str">
        <f t="shared" si="14"/>
        <v xml:space="preserve"> Virginia</v>
      </c>
      <c r="J465" s="1" t="str">
        <f t="shared" si="15"/>
        <v>Lynchburg city</v>
      </c>
      <c r="K465" s="1">
        <f>IF(COUNTIF($I$5:I465,I465)=1,1,0)</f>
        <v>0</v>
      </c>
    </row>
    <row r="466" spans="1:11" x14ac:dyDescent="0.2">
      <c r="A466" s="9">
        <v>462</v>
      </c>
      <c r="B466" s="5" t="s">
        <v>461</v>
      </c>
      <c r="C466" s="6">
        <v>82863</v>
      </c>
      <c r="D466" s="6">
        <v>82650</v>
      </c>
      <c r="E466" s="6">
        <v>81226</v>
      </c>
      <c r="F466" s="6">
        <v>80538</v>
      </c>
      <c r="G466" s="6">
        <v>80244</v>
      </c>
      <c r="H466" s="6">
        <v>80279</v>
      </c>
      <c r="I466" s="1" t="str">
        <f t="shared" si="14"/>
        <v xml:space="preserve"> California</v>
      </c>
      <c r="J466" s="1" t="str">
        <f t="shared" si="15"/>
        <v>Alhambra city</v>
      </c>
      <c r="K466" s="1">
        <f>IF(COUNTIF($I$5:I466,I466)=1,1,0)</f>
        <v>0</v>
      </c>
    </row>
    <row r="467" spans="1:11" x14ac:dyDescent="0.2">
      <c r="A467" s="9">
        <v>463</v>
      </c>
      <c r="B467" s="5" t="s">
        <v>462</v>
      </c>
      <c r="C467" s="6">
        <v>75975</v>
      </c>
      <c r="D467" s="6">
        <v>76492</v>
      </c>
      <c r="E467" s="6">
        <v>77566</v>
      </c>
      <c r="F467" s="6">
        <v>78783</v>
      </c>
      <c r="G467" s="6">
        <v>79947</v>
      </c>
      <c r="H467" s="6">
        <v>79990</v>
      </c>
      <c r="I467" s="1" t="str">
        <f t="shared" si="14"/>
        <v xml:space="preserve"> Texas</v>
      </c>
      <c r="J467" s="1" t="str">
        <f t="shared" si="15"/>
        <v>Flower Mound town</v>
      </c>
      <c r="K467" s="1">
        <f>IF(COUNTIF($I$5:I467,I467)=1,1,0)</f>
        <v>0</v>
      </c>
    </row>
    <row r="468" spans="1:11" x14ac:dyDescent="0.2">
      <c r="A468" s="9">
        <v>464</v>
      </c>
      <c r="B468" s="5" t="s">
        <v>463</v>
      </c>
      <c r="C468" s="6">
        <v>80212</v>
      </c>
      <c r="D468" s="6">
        <v>80140</v>
      </c>
      <c r="E468" s="6">
        <v>80437</v>
      </c>
      <c r="F468" s="6">
        <v>80379</v>
      </c>
      <c r="G468" s="6">
        <v>80262</v>
      </c>
      <c r="H468" s="6">
        <v>79986</v>
      </c>
      <c r="I468" s="1" t="str">
        <f t="shared" si="14"/>
        <v xml:space="preserve"> Indiana</v>
      </c>
      <c r="J468" s="1" t="str">
        <f t="shared" si="15"/>
        <v>Bloomington city</v>
      </c>
      <c r="K468" s="1">
        <f>IF(COUNTIF($I$5:I468,I468)=1,1,0)</f>
        <v>0</v>
      </c>
    </row>
    <row r="469" spans="1:11" x14ac:dyDescent="0.2">
      <c r="A469" s="9">
        <v>465</v>
      </c>
      <c r="B469" s="5" t="s">
        <v>464</v>
      </c>
      <c r="C469" s="6">
        <v>74730</v>
      </c>
      <c r="D469" s="6">
        <v>74943</v>
      </c>
      <c r="E469" s="6">
        <v>76769</v>
      </c>
      <c r="F469" s="6">
        <v>78702</v>
      </c>
      <c r="G469" s="6">
        <v>79376</v>
      </c>
      <c r="H469" s="6">
        <v>79894</v>
      </c>
      <c r="I469" s="1" t="str">
        <f t="shared" si="14"/>
        <v xml:space="preserve"> South Dakota</v>
      </c>
      <c r="J469" s="1" t="str">
        <f t="shared" si="15"/>
        <v>Rapid City city</v>
      </c>
      <c r="K469" s="1">
        <f>IF(COUNTIF($I$5:I469,I469)=1,1,0)</f>
        <v>0</v>
      </c>
    </row>
    <row r="470" spans="1:11" x14ac:dyDescent="0.2">
      <c r="A470" s="9">
        <v>466</v>
      </c>
      <c r="B470" s="5" t="s">
        <v>465</v>
      </c>
      <c r="C470" s="6">
        <v>80269</v>
      </c>
      <c r="D470" s="6">
        <v>79786</v>
      </c>
      <c r="E470" s="6">
        <v>77408</v>
      </c>
      <c r="F470" s="6">
        <v>77619</v>
      </c>
      <c r="G470" s="6">
        <v>78421</v>
      </c>
      <c r="H470" s="6">
        <v>79746</v>
      </c>
      <c r="I470" s="1" t="str">
        <f t="shared" si="14"/>
        <v xml:space="preserve"> California</v>
      </c>
      <c r="J470" s="1" t="str">
        <f t="shared" si="15"/>
        <v>Milpitas city</v>
      </c>
      <c r="K470" s="1">
        <f>IF(COUNTIF($I$5:I470,I470)=1,1,0)</f>
        <v>0</v>
      </c>
    </row>
    <row r="471" spans="1:11" x14ac:dyDescent="0.2">
      <c r="A471" s="9">
        <v>467</v>
      </c>
      <c r="B471" s="5" t="s">
        <v>466</v>
      </c>
      <c r="C471" s="6">
        <v>81266</v>
      </c>
      <c r="D471" s="6">
        <v>81109</v>
      </c>
      <c r="E471" s="6">
        <v>80587</v>
      </c>
      <c r="F471" s="6">
        <v>79850</v>
      </c>
      <c r="G471" s="6">
        <v>79669</v>
      </c>
      <c r="H471" s="6">
        <v>79735</v>
      </c>
      <c r="I471" s="1" t="str">
        <f t="shared" si="14"/>
        <v xml:space="preserve"> Michigan</v>
      </c>
      <c r="J471" s="1" t="str">
        <f t="shared" si="15"/>
        <v>Flint city</v>
      </c>
      <c r="K471" s="1">
        <f>IF(COUNTIF($I$5:I471,I471)=1,1,0)</f>
        <v>0</v>
      </c>
    </row>
    <row r="472" spans="1:11" x14ac:dyDescent="0.2">
      <c r="A472" s="9">
        <v>468</v>
      </c>
      <c r="B472" s="5" t="s">
        <v>467</v>
      </c>
      <c r="C472" s="6">
        <v>79040</v>
      </c>
      <c r="D472" s="6">
        <v>79047</v>
      </c>
      <c r="E472" s="6">
        <v>79272</v>
      </c>
      <c r="F472" s="6">
        <v>79190</v>
      </c>
      <c r="G472" s="6">
        <v>79171</v>
      </c>
      <c r="H472" s="6">
        <v>79684</v>
      </c>
      <c r="I472" s="1" t="str">
        <f t="shared" si="14"/>
        <v xml:space="preserve"> California</v>
      </c>
      <c r="J472" s="1" t="str">
        <f t="shared" si="15"/>
        <v>Upland city</v>
      </c>
      <c r="K472" s="1">
        <f>IF(COUNTIF($I$5:I472,I472)=1,1,0)</f>
        <v>0</v>
      </c>
    </row>
    <row r="473" spans="1:11" x14ac:dyDescent="0.2">
      <c r="A473" s="9">
        <v>469</v>
      </c>
      <c r="B473" s="5" t="s">
        <v>468</v>
      </c>
      <c r="C473" s="6">
        <v>75795</v>
      </c>
      <c r="D473" s="6">
        <v>75706</v>
      </c>
      <c r="E473" s="6">
        <v>77947</v>
      </c>
      <c r="F473" s="6">
        <v>77752</v>
      </c>
      <c r="G473" s="6">
        <v>78835</v>
      </c>
      <c r="H473" s="6">
        <v>79453</v>
      </c>
      <c r="I473" s="1" t="str">
        <f t="shared" si="14"/>
        <v xml:space="preserve"> Pennsylvania</v>
      </c>
      <c r="J473" s="1" t="str">
        <f t="shared" si="15"/>
        <v>Bethlehem city</v>
      </c>
      <c r="K473" s="1">
        <f>IF(COUNTIF($I$5:I473,I473)=1,1,0)</f>
        <v>0</v>
      </c>
    </row>
    <row r="474" spans="1:11" x14ac:dyDescent="0.2">
      <c r="A474" s="9">
        <v>470</v>
      </c>
      <c r="B474" s="5" t="s">
        <v>469</v>
      </c>
      <c r="C474" s="6">
        <v>81121</v>
      </c>
      <c r="D474" s="6">
        <v>80962</v>
      </c>
      <c r="E474" s="6">
        <v>80167</v>
      </c>
      <c r="F474" s="6">
        <v>79531</v>
      </c>
      <c r="G474" s="6">
        <v>79310</v>
      </c>
      <c r="H474" s="6">
        <v>79350</v>
      </c>
      <c r="I474" s="1" t="str">
        <f t="shared" si="14"/>
        <v xml:space="preserve"> Ohio</v>
      </c>
      <c r="J474" s="1" t="str">
        <f t="shared" si="15"/>
        <v>Parma city</v>
      </c>
      <c r="K474" s="1">
        <f>IF(COUNTIF($I$5:I474,I474)=1,1,0)</f>
        <v>0</v>
      </c>
    </row>
    <row r="475" spans="1:11" x14ac:dyDescent="0.2">
      <c r="A475" s="9">
        <v>471</v>
      </c>
      <c r="B475" s="5" t="s">
        <v>470</v>
      </c>
      <c r="C475" s="6">
        <v>78701</v>
      </c>
      <c r="D475" s="6">
        <v>78692</v>
      </c>
      <c r="E475" s="6">
        <v>78828</v>
      </c>
      <c r="F475" s="6">
        <v>78939</v>
      </c>
      <c r="G475" s="6">
        <v>78952</v>
      </c>
      <c r="H475" s="6">
        <v>79232</v>
      </c>
      <c r="I475" s="1" t="str">
        <f t="shared" si="14"/>
        <v xml:space="preserve"> Illinois</v>
      </c>
      <c r="J475" s="1" t="str">
        <f t="shared" si="15"/>
        <v>Bloomington city</v>
      </c>
      <c r="K475" s="1">
        <f>IF(COUNTIF($I$5:I475,I475)=1,1,0)</f>
        <v>0</v>
      </c>
    </row>
    <row r="476" spans="1:11" x14ac:dyDescent="0.2">
      <c r="A476" s="9">
        <v>472</v>
      </c>
      <c r="B476" s="5" t="s">
        <v>471</v>
      </c>
      <c r="C476" s="6">
        <v>72313</v>
      </c>
      <c r="D476" s="6">
        <v>72472</v>
      </c>
      <c r="E476" s="6">
        <v>73151</v>
      </c>
      <c r="F476" s="6">
        <v>75233</v>
      </c>
      <c r="G476" s="6">
        <v>77069</v>
      </c>
      <c r="H476" s="6">
        <v>79076</v>
      </c>
      <c r="I476" s="1" t="str">
        <f t="shared" si="14"/>
        <v xml:space="preserve"> Kentucky</v>
      </c>
      <c r="J476" s="1" t="str">
        <f t="shared" si="15"/>
        <v>Bowling Green city</v>
      </c>
      <c r="K476" s="1">
        <f>IF(COUNTIF($I$5:I476,I476)=1,1,0)</f>
        <v>0</v>
      </c>
    </row>
    <row r="477" spans="1:11" x14ac:dyDescent="0.2">
      <c r="A477" s="9">
        <v>473</v>
      </c>
      <c r="B477" s="5" t="s">
        <v>472</v>
      </c>
      <c r="C477" s="6">
        <v>79948</v>
      </c>
      <c r="D477" s="6">
        <v>79885</v>
      </c>
      <c r="E477" s="6">
        <v>79211</v>
      </c>
      <c r="F477" s="6">
        <v>78607</v>
      </c>
      <c r="G477" s="6">
        <v>78382</v>
      </c>
      <c r="H477" s="6">
        <v>78863</v>
      </c>
      <c r="I477" s="1" t="str">
        <f t="shared" si="14"/>
        <v xml:space="preserve"> California</v>
      </c>
      <c r="J477" s="1" t="str">
        <f t="shared" si="15"/>
        <v>Tustin city</v>
      </c>
      <c r="K477" s="1">
        <f>IF(COUNTIF($I$5:I477,I477)=1,1,0)</f>
        <v>0</v>
      </c>
    </row>
    <row r="478" spans="1:11" x14ac:dyDescent="0.2">
      <c r="A478" s="9">
        <v>474</v>
      </c>
      <c r="B478" s="5" t="s">
        <v>473</v>
      </c>
      <c r="C478" s="6">
        <v>78285</v>
      </c>
      <c r="D478" s="6">
        <v>78117</v>
      </c>
      <c r="E478" s="6">
        <v>76603</v>
      </c>
      <c r="F478" s="6">
        <v>75894</v>
      </c>
      <c r="G478" s="6">
        <v>76791</v>
      </c>
      <c r="H478" s="6">
        <v>78795</v>
      </c>
      <c r="I478" s="1" t="str">
        <f t="shared" si="14"/>
        <v xml:space="preserve"> California</v>
      </c>
      <c r="J478" s="1" t="str">
        <f t="shared" si="15"/>
        <v>Alameda city</v>
      </c>
      <c r="K478" s="1">
        <f>IF(COUNTIF($I$5:I478,I478)=1,1,0)</f>
        <v>0</v>
      </c>
    </row>
    <row r="479" spans="1:11" x14ac:dyDescent="0.2">
      <c r="A479" s="9">
        <v>475</v>
      </c>
      <c r="B479" s="5" t="s">
        <v>474</v>
      </c>
      <c r="C479" s="6">
        <v>74254</v>
      </c>
      <c r="D479" s="6">
        <v>74440</v>
      </c>
      <c r="E479" s="6">
        <v>75097</v>
      </c>
      <c r="F479" s="6">
        <v>76900</v>
      </c>
      <c r="G479" s="6">
        <v>77690</v>
      </c>
      <c r="H479" s="6">
        <v>78582</v>
      </c>
      <c r="I479" s="1" t="str">
        <f t="shared" si="14"/>
        <v xml:space="preserve"> Texas</v>
      </c>
      <c r="J479" s="1" t="str">
        <f t="shared" si="15"/>
        <v>Missouri City city</v>
      </c>
      <c r="K479" s="1">
        <f>IF(COUNTIF($I$5:I479,I479)=1,1,0)</f>
        <v>0</v>
      </c>
    </row>
    <row r="480" spans="1:11" x14ac:dyDescent="0.2">
      <c r="A480" s="9">
        <v>476</v>
      </c>
      <c r="B480" s="5" t="s">
        <v>475</v>
      </c>
      <c r="C480" s="6">
        <v>76518</v>
      </c>
      <c r="D480" s="6">
        <v>76768</v>
      </c>
      <c r="E480" s="6">
        <v>76847</v>
      </c>
      <c r="F480" s="6">
        <v>76759</v>
      </c>
      <c r="G480" s="6">
        <v>77772</v>
      </c>
      <c r="H480" s="6">
        <v>78559</v>
      </c>
      <c r="I480" s="1" t="str">
        <f t="shared" si="14"/>
        <v xml:space="preserve"> Michigan</v>
      </c>
      <c r="J480" s="1" t="str">
        <f t="shared" si="15"/>
        <v>Wyoming city</v>
      </c>
      <c r="K480" s="1">
        <f>IF(COUNTIF($I$5:I480,I480)=1,1,0)</f>
        <v>0</v>
      </c>
    </row>
    <row r="481" spans="1:11" x14ac:dyDescent="0.2">
      <c r="A481" s="9">
        <v>477</v>
      </c>
      <c r="B481" s="5" t="s">
        <v>476</v>
      </c>
      <c r="C481" s="6">
        <v>81020</v>
      </c>
      <c r="D481" s="6">
        <v>80960</v>
      </c>
      <c r="E481" s="6">
        <v>79852</v>
      </c>
      <c r="F481" s="6">
        <v>78828</v>
      </c>
      <c r="G481" s="6">
        <v>77940</v>
      </c>
      <c r="H481" s="6">
        <v>78551</v>
      </c>
      <c r="I481" s="1" t="str">
        <f t="shared" si="14"/>
        <v xml:space="preserve"> Minnesota</v>
      </c>
      <c r="J481" s="1" t="str">
        <f t="shared" si="15"/>
        <v>Plymouth city</v>
      </c>
      <c r="K481" s="1">
        <f>IF(COUNTIF($I$5:I481,I481)=1,1,0)</f>
        <v>0</v>
      </c>
    </row>
    <row r="482" spans="1:11" x14ac:dyDescent="0.2">
      <c r="A482" s="9">
        <v>478</v>
      </c>
      <c r="B482" s="5" t="s">
        <v>477</v>
      </c>
      <c r="C482" s="6">
        <v>82496</v>
      </c>
      <c r="D482" s="6">
        <v>82225</v>
      </c>
      <c r="E482" s="6">
        <v>80495</v>
      </c>
      <c r="F482" s="6">
        <v>79365</v>
      </c>
      <c r="G482" s="6">
        <v>78717</v>
      </c>
      <c r="H482" s="6">
        <v>78494</v>
      </c>
      <c r="I482" s="1" t="str">
        <f t="shared" si="14"/>
        <v xml:space="preserve"> California</v>
      </c>
      <c r="J482" s="1" t="str">
        <f t="shared" si="15"/>
        <v>Lakewood city</v>
      </c>
      <c r="K482" s="1">
        <f>IF(COUNTIF($I$5:I482,I482)=1,1,0)</f>
        <v>0</v>
      </c>
    </row>
    <row r="483" spans="1:11" x14ac:dyDescent="0.2">
      <c r="A483" s="9">
        <v>479</v>
      </c>
      <c r="B483" s="5" t="s">
        <v>478</v>
      </c>
      <c r="C483" s="6">
        <v>77603</v>
      </c>
      <c r="D483" s="6">
        <v>78037</v>
      </c>
      <c r="E483" s="6">
        <v>78939</v>
      </c>
      <c r="F483" s="6">
        <v>78025</v>
      </c>
      <c r="G483" s="6">
        <v>78060</v>
      </c>
      <c r="H483" s="6">
        <v>78380</v>
      </c>
      <c r="I483" s="1" t="str">
        <f t="shared" si="14"/>
        <v xml:space="preserve"> Texas</v>
      </c>
      <c r="J483" s="1" t="str">
        <f t="shared" si="15"/>
        <v>Cedar Park city</v>
      </c>
      <c r="K483" s="1">
        <f>IF(COUNTIF($I$5:I483,I483)=1,1,0)</f>
        <v>0</v>
      </c>
    </row>
    <row r="484" spans="1:11" x14ac:dyDescent="0.2">
      <c r="A484" s="9">
        <v>480</v>
      </c>
      <c r="B484" s="5" t="s">
        <v>479</v>
      </c>
      <c r="C484" s="6">
        <v>76311</v>
      </c>
      <c r="D484" s="6">
        <v>76144</v>
      </c>
      <c r="E484" s="6">
        <v>76064</v>
      </c>
      <c r="F484" s="6">
        <v>77214</v>
      </c>
      <c r="G484" s="6">
        <v>77694</v>
      </c>
      <c r="H484" s="6">
        <v>78330</v>
      </c>
      <c r="I484" s="1" t="str">
        <f t="shared" si="14"/>
        <v xml:space="preserve"> Michigan</v>
      </c>
      <c r="J484" s="1" t="str">
        <f t="shared" si="15"/>
        <v>Rochester Hills city</v>
      </c>
      <c r="K484" s="1">
        <f>IF(COUNTIF($I$5:I484,I484)=1,1,0)</f>
        <v>0</v>
      </c>
    </row>
    <row r="485" spans="1:11" x14ac:dyDescent="0.2">
      <c r="A485" s="9">
        <v>481</v>
      </c>
      <c r="B485" s="5" t="s">
        <v>480</v>
      </c>
      <c r="C485" s="6">
        <v>74106</v>
      </c>
      <c r="D485" s="6">
        <v>74494</v>
      </c>
      <c r="E485" s="6">
        <v>75430</v>
      </c>
      <c r="F485" s="6">
        <v>76245</v>
      </c>
      <c r="G485" s="6">
        <v>77029</v>
      </c>
      <c r="H485" s="6">
        <v>78323</v>
      </c>
      <c r="I485" s="1" t="str">
        <f t="shared" si="14"/>
        <v xml:space="preserve"> Colorado</v>
      </c>
      <c r="J485" s="1" t="str">
        <f t="shared" si="15"/>
        <v>Broomfield city</v>
      </c>
      <c r="K485" s="1">
        <f>IF(COUNTIF($I$5:I485,I485)=1,1,0)</f>
        <v>0</v>
      </c>
    </row>
    <row r="486" spans="1:11" x14ac:dyDescent="0.2">
      <c r="A486" s="9">
        <v>482</v>
      </c>
      <c r="B486" s="5" t="s">
        <v>481</v>
      </c>
      <c r="C486" s="6">
        <v>77080</v>
      </c>
      <c r="D486" s="6">
        <v>77114</v>
      </c>
      <c r="E486" s="6">
        <v>77205</v>
      </c>
      <c r="F486" s="6">
        <v>77686</v>
      </c>
      <c r="G486" s="6">
        <v>78060</v>
      </c>
      <c r="H486" s="6">
        <v>78314</v>
      </c>
      <c r="I486" s="1" t="str">
        <f t="shared" si="14"/>
        <v xml:space="preserve"> Georgia</v>
      </c>
      <c r="J486" s="1" t="str">
        <f t="shared" si="15"/>
        <v>Mableton city</v>
      </c>
      <c r="K486" s="1">
        <f>IF(COUNTIF($I$5:I486,I486)=1,1,0)</f>
        <v>0</v>
      </c>
    </row>
    <row r="487" spans="1:11" x14ac:dyDescent="0.2">
      <c r="A487" s="9">
        <v>483</v>
      </c>
      <c r="B487" s="5" t="s">
        <v>482</v>
      </c>
      <c r="C487" s="6">
        <v>74137</v>
      </c>
      <c r="D487" s="6">
        <v>74406</v>
      </c>
      <c r="E487" s="6">
        <v>75407</v>
      </c>
      <c r="F487" s="6">
        <v>76879</v>
      </c>
      <c r="G487" s="6">
        <v>77647</v>
      </c>
      <c r="H487" s="6">
        <v>78204</v>
      </c>
      <c r="I487" s="1" t="str">
        <f t="shared" si="14"/>
        <v xml:space="preserve"> Montana</v>
      </c>
      <c r="J487" s="1" t="str">
        <f t="shared" si="15"/>
        <v>Missoula city</v>
      </c>
      <c r="K487" s="1">
        <f>IF(COUNTIF($I$5:I487,I487)=1,1,0)</f>
        <v>0</v>
      </c>
    </row>
    <row r="488" spans="1:11" x14ac:dyDescent="0.2">
      <c r="A488" s="9">
        <v>484</v>
      </c>
      <c r="B488" s="5" t="s">
        <v>483</v>
      </c>
      <c r="C488" s="6">
        <v>78337</v>
      </c>
      <c r="D488" s="6">
        <v>78163</v>
      </c>
      <c r="E488" s="6">
        <v>77349</v>
      </c>
      <c r="F488" s="6">
        <v>77186</v>
      </c>
      <c r="G488" s="6">
        <v>77379</v>
      </c>
      <c r="H488" s="6">
        <v>78057</v>
      </c>
      <c r="I488" s="1" t="str">
        <f t="shared" si="14"/>
        <v xml:space="preserve"> Wisconsin</v>
      </c>
      <c r="J488" s="1" t="str">
        <f t="shared" si="15"/>
        <v>Racine city</v>
      </c>
      <c r="K488" s="1">
        <f>IF(COUNTIF($I$5:I488,I488)=1,1,0)</f>
        <v>0</v>
      </c>
    </row>
    <row r="489" spans="1:11" x14ac:dyDescent="0.2">
      <c r="A489" s="9">
        <v>485</v>
      </c>
      <c r="B489" s="5" t="s">
        <v>484</v>
      </c>
      <c r="C489" s="6">
        <v>69495</v>
      </c>
      <c r="D489" s="6">
        <v>70030</v>
      </c>
      <c r="E489" s="6">
        <v>72732</v>
      </c>
      <c r="F489" s="6">
        <v>74615</v>
      </c>
      <c r="G489" s="6">
        <v>76393</v>
      </c>
      <c r="H489" s="6">
        <v>77971</v>
      </c>
      <c r="I489" s="1" t="str">
        <f t="shared" si="14"/>
        <v xml:space="preserve"> Minnesota</v>
      </c>
      <c r="J489" s="1" t="str">
        <f t="shared" si="15"/>
        <v>Lakeville city</v>
      </c>
      <c r="K489" s="1">
        <f>IF(COUNTIF($I$5:I489,I489)=1,1,0)</f>
        <v>0</v>
      </c>
    </row>
    <row r="490" spans="1:11" x14ac:dyDescent="0.2">
      <c r="A490" s="9">
        <v>486</v>
      </c>
      <c r="B490" s="5" t="s">
        <v>485</v>
      </c>
      <c r="C490" s="6">
        <v>73623</v>
      </c>
      <c r="D490" s="6">
        <v>73741</v>
      </c>
      <c r="E490" s="6">
        <v>74495</v>
      </c>
      <c r="F490" s="6">
        <v>75483</v>
      </c>
      <c r="G490" s="6">
        <v>76389</v>
      </c>
      <c r="H490" s="6">
        <v>77772</v>
      </c>
      <c r="I490" s="1" t="str">
        <f t="shared" si="14"/>
        <v xml:space="preserve"> North Dakota</v>
      </c>
      <c r="J490" s="1" t="str">
        <f t="shared" si="15"/>
        <v>Bismarck city</v>
      </c>
      <c r="K490" s="1">
        <f>IF(COUNTIF($I$5:I490,I490)=1,1,0)</f>
        <v>0</v>
      </c>
    </row>
    <row r="491" spans="1:11" x14ac:dyDescent="0.2">
      <c r="A491" s="9">
        <v>487</v>
      </c>
      <c r="B491" s="5" t="s">
        <v>486</v>
      </c>
      <c r="C491" s="6">
        <v>76845</v>
      </c>
      <c r="D491" s="6">
        <v>77091</v>
      </c>
      <c r="E491" s="6">
        <v>74817</v>
      </c>
      <c r="F491" s="6">
        <v>76035</v>
      </c>
      <c r="G491" s="6">
        <v>76819</v>
      </c>
      <c r="H491" s="6">
        <v>77539</v>
      </c>
      <c r="I491" s="1" t="str">
        <f t="shared" si="14"/>
        <v xml:space="preserve"> Arizona</v>
      </c>
      <c r="J491" s="1" t="str">
        <f t="shared" si="15"/>
        <v>Flagstaff city</v>
      </c>
      <c r="K491" s="1">
        <f>IF(COUNTIF($I$5:I491,I491)=1,1,0)</f>
        <v>0</v>
      </c>
    </row>
    <row r="492" spans="1:11" x14ac:dyDescent="0.2">
      <c r="A492" s="9">
        <v>488</v>
      </c>
      <c r="B492" s="5" t="s">
        <v>487</v>
      </c>
      <c r="C492" s="6">
        <v>78429</v>
      </c>
      <c r="D492" s="6">
        <v>78457</v>
      </c>
      <c r="E492" s="6">
        <v>78384</v>
      </c>
      <c r="F492" s="6">
        <v>77876</v>
      </c>
      <c r="G492" s="6">
        <v>77477</v>
      </c>
      <c r="H492" s="6">
        <v>77418</v>
      </c>
      <c r="I492" s="1" t="str">
        <f t="shared" si="14"/>
        <v xml:space="preserve"> California</v>
      </c>
      <c r="J492" s="1" t="str">
        <f t="shared" si="15"/>
        <v>Chino Hills city</v>
      </c>
      <c r="K492" s="1">
        <f>IF(COUNTIF($I$5:I492,I492)=1,1,0)</f>
        <v>0</v>
      </c>
    </row>
    <row r="493" spans="1:11" x14ac:dyDescent="0.2">
      <c r="A493" s="9">
        <v>489</v>
      </c>
      <c r="B493" s="5" t="s">
        <v>488</v>
      </c>
      <c r="C493" s="6">
        <v>76407</v>
      </c>
      <c r="D493" s="6">
        <v>76355</v>
      </c>
      <c r="E493" s="6">
        <v>75899</v>
      </c>
      <c r="F493" s="6">
        <v>75709</v>
      </c>
      <c r="G493" s="6">
        <v>76177</v>
      </c>
      <c r="H493" s="6">
        <v>77131</v>
      </c>
      <c r="I493" s="1" t="str">
        <f t="shared" si="14"/>
        <v xml:space="preserve"> California</v>
      </c>
      <c r="J493" s="1" t="str">
        <f t="shared" si="15"/>
        <v>Pittsburg city</v>
      </c>
      <c r="K493" s="1">
        <f>IF(COUNTIF($I$5:I493,I493)=1,1,0)</f>
        <v>0</v>
      </c>
    </row>
    <row r="494" spans="1:11" x14ac:dyDescent="0.2">
      <c r="A494" s="9">
        <v>490</v>
      </c>
      <c r="B494" s="5" t="s">
        <v>489</v>
      </c>
      <c r="C494" s="6">
        <v>78723</v>
      </c>
      <c r="D494" s="6">
        <v>78432</v>
      </c>
      <c r="E494" s="6">
        <v>77109</v>
      </c>
      <c r="F494" s="6">
        <v>76342</v>
      </c>
      <c r="G494" s="6">
        <v>76366</v>
      </c>
      <c r="H494" s="6">
        <v>77099</v>
      </c>
      <c r="I494" s="1" t="str">
        <f t="shared" si="14"/>
        <v xml:space="preserve"> Illinois</v>
      </c>
      <c r="J494" s="1" t="str">
        <f t="shared" si="15"/>
        <v>Schaumburg village</v>
      </c>
      <c r="K494" s="1">
        <f>IF(COUNTIF($I$5:I494,I494)=1,1,0)</f>
        <v>0</v>
      </c>
    </row>
    <row r="495" spans="1:11" x14ac:dyDescent="0.2">
      <c r="A495" s="9">
        <v>491</v>
      </c>
      <c r="B495" s="5" t="s">
        <v>490</v>
      </c>
      <c r="C495" s="6">
        <v>75611</v>
      </c>
      <c r="D495" s="6">
        <v>75488</v>
      </c>
      <c r="E495" s="6">
        <v>75313</v>
      </c>
      <c r="F495" s="6">
        <v>75660</v>
      </c>
      <c r="G495" s="6">
        <v>76097</v>
      </c>
      <c r="H495" s="6">
        <v>76996</v>
      </c>
      <c r="I495" s="1" t="str">
        <f t="shared" si="14"/>
        <v xml:space="preserve"> Rhode Island</v>
      </c>
      <c r="J495" s="1" t="str">
        <f t="shared" si="15"/>
        <v>Pawtucket city</v>
      </c>
      <c r="K495" s="1">
        <f>IF(COUNTIF($I$5:I495,I495)=1,1,0)</f>
        <v>0</v>
      </c>
    </row>
    <row r="496" spans="1:11" x14ac:dyDescent="0.2">
      <c r="A496" s="9">
        <v>492</v>
      </c>
      <c r="B496" s="5" t="s">
        <v>491</v>
      </c>
      <c r="C496" s="6">
        <v>79305</v>
      </c>
      <c r="D496" s="6">
        <v>79341</v>
      </c>
      <c r="E496" s="6">
        <v>79131</v>
      </c>
      <c r="F496" s="6">
        <v>78174</v>
      </c>
      <c r="G496" s="6">
        <v>77542</v>
      </c>
      <c r="H496" s="6">
        <v>76921</v>
      </c>
      <c r="I496" s="1" t="str">
        <f t="shared" si="14"/>
        <v xml:space="preserve"> California</v>
      </c>
      <c r="J496" s="1" t="str">
        <f t="shared" si="15"/>
        <v>Napa city</v>
      </c>
      <c r="K496" s="1">
        <f>IF(COUNTIF($I$5:I496,I496)=1,1,0)</f>
        <v>0</v>
      </c>
    </row>
    <row r="497" spans="1:11" x14ac:dyDescent="0.2">
      <c r="A497" s="9">
        <v>493</v>
      </c>
      <c r="B497" s="5" t="s">
        <v>492</v>
      </c>
      <c r="C497" s="6">
        <v>76608</v>
      </c>
      <c r="D497" s="6">
        <v>76409</v>
      </c>
      <c r="E497" s="6">
        <v>75956</v>
      </c>
      <c r="F497" s="6">
        <v>75725</v>
      </c>
      <c r="G497" s="6">
        <v>76187</v>
      </c>
      <c r="H497" s="6">
        <v>76874</v>
      </c>
      <c r="I497" s="1" t="str">
        <f t="shared" si="14"/>
        <v xml:space="preserve"> Michigan</v>
      </c>
      <c r="J497" s="1" t="str">
        <f t="shared" si="15"/>
        <v>Southfield city</v>
      </c>
      <c r="K497" s="1">
        <f>IF(COUNTIF($I$5:I497,I497)=1,1,0)</f>
        <v>0</v>
      </c>
    </row>
    <row r="498" spans="1:11" x14ac:dyDescent="0.2">
      <c r="A498" s="9">
        <v>494</v>
      </c>
      <c r="B498" s="5" t="s">
        <v>493</v>
      </c>
      <c r="C498" s="6">
        <v>68095</v>
      </c>
      <c r="D498" s="6">
        <v>68562</v>
      </c>
      <c r="E498" s="6">
        <v>70635</v>
      </c>
      <c r="F498" s="6">
        <v>72416</v>
      </c>
      <c r="G498" s="6">
        <v>74822</v>
      </c>
      <c r="H498" s="6">
        <v>76727</v>
      </c>
      <c r="I498" s="1" t="str">
        <f t="shared" si="14"/>
        <v xml:space="preserve"> Iowa</v>
      </c>
      <c r="J498" s="1" t="str">
        <f t="shared" si="15"/>
        <v>Ankeny city</v>
      </c>
      <c r="K498" s="1">
        <f>IF(COUNTIF($I$5:I498,I498)=1,1,0)</f>
        <v>0</v>
      </c>
    </row>
    <row r="499" spans="1:11" x14ac:dyDescent="0.2">
      <c r="A499" s="9">
        <v>495</v>
      </c>
      <c r="B499" s="5" t="s">
        <v>494</v>
      </c>
      <c r="C499" s="6">
        <v>74825</v>
      </c>
      <c r="D499" s="6">
        <v>74914</v>
      </c>
      <c r="E499" s="6">
        <v>75180</v>
      </c>
      <c r="F499" s="6">
        <v>75867</v>
      </c>
      <c r="G499" s="6">
        <v>76111</v>
      </c>
      <c r="H499" s="6">
        <v>76710</v>
      </c>
      <c r="I499" s="1" t="str">
        <f t="shared" si="14"/>
        <v xml:space="preserve"> Iowa</v>
      </c>
      <c r="J499" s="1" t="str">
        <f t="shared" si="15"/>
        <v>Iowa City city</v>
      </c>
      <c r="K499" s="1">
        <f>IF(COUNTIF($I$5:I499,I499)=1,1,0)</f>
        <v>0</v>
      </c>
    </row>
    <row r="500" spans="1:11" x14ac:dyDescent="0.2">
      <c r="A500" s="9">
        <v>496</v>
      </c>
      <c r="B500" s="5" t="s">
        <v>495</v>
      </c>
      <c r="C500" s="6">
        <v>58142</v>
      </c>
      <c r="D500" s="6">
        <v>58856</v>
      </c>
      <c r="E500" s="6">
        <v>62472</v>
      </c>
      <c r="F500" s="6">
        <v>66373</v>
      </c>
      <c r="G500" s="6">
        <v>71362</v>
      </c>
      <c r="H500" s="6">
        <v>76654</v>
      </c>
      <c r="I500" s="1" t="str">
        <f t="shared" si="14"/>
        <v xml:space="preserve"> Arizona</v>
      </c>
      <c r="J500" s="1" t="str">
        <f t="shared" si="15"/>
        <v>Maricopa city</v>
      </c>
      <c r="K500" s="1">
        <f>IF(COUNTIF($I$5:I500,I500)=1,1,0)</f>
        <v>0</v>
      </c>
    </row>
    <row r="501" spans="1:11" x14ac:dyDescent="0.2">
      <c r="A501" s="9">
        <v>497</v>
      </c>
      <c r="B501" s="5" t="s">
        <v>496</v>
      </c>
      <c r="C501" s="6">
        <v>74493</v>
      </c>
      <c r="D501" s="6">
        <v>74335</v>
      </c>
      <c r="E501" s="6">
        <v>73627</v>
      </c>
      <c r="F501" s="6">
        <v>74371</v>
      </c>
      <c r="G501" s="6">
        <v>75499</v>
      </c>
      <c r="H501" s="6">
        <v>76627</v>
      </c>
      <c r="I501" s="1" t="str">
        <f t="shared" si="14"/>
        <v xml:space="preserve"> Florida</v>
      </c>
      <c r="J501" s="1" t="str">
        <f t="shared" si="15"/>
        <v>Lauderhill city</v>
      </c>
      <c r="K501" s="1">
        <f>IF(COUNTIF($I$5:I501,I501)=1,1,0)</f>
        <v>0</v>
      </c>
    </row>
    <row r="502" spans="1:11" x14ac:dyDescent="0.2">
      <c r="A502" s="9">
        <v>498</v>
      </c>
      <c r="B502" s="5" t="s">
        <v>497</v>
      </c>
      <c r="C502" s="6">
        <v>70715</v>
      </c>
      <c r="D502" s="6">
        <v>70979</v>
      </c>
      <c r="E502" s="6">
        <v>71601</v>
      </c>
      <c r="F502" s="6">
        <v>72556</v>
      </c>
      <c r="G502" s="6">
        <v>73686</v>
      </c>
      <c r="H502" s="6">
        <v>76209</v>
      </c>
      <c r="I502" s="1" t="str">
        <f t="shared" si="14"/>
        <v xml:space="preserve"> Washington</v>
      </c>
      <c r="J502" s="1" t="str">
        <f t="shared" si="15"/>
        <v>Marysville city</v>
      </c>
      <c r="K502" s="1">
        <f>IF(COUNTIF($I$5:I502,I502)=1,1,0)</f>
        <v>0</v>
      </c>
    </row>
    <row r="503" spans="1:11" x14ac:dyDescent="0.2">
      <c r="A503" s="9">
        <v>499</v>
      </c>
      <c r="B503" s="5" t="s">
        <v>498</v>
      </c>
      <c r="C503" s="6">
        <v>77844</v>
      </c>
      <c r="D503" s="6">
        <v>77755</v>
      </c>
      <c r="E503" s="6">
        <v>77201</v>
      </c>
      <c r="F503" s="6">
        <v>76639</v>
      </c>
      <c r="G503" s="6">
        <v>76191</v>
      </c>
      <c r="H503" s="6">
        <v>76030</v>
      </c>
      <c r="I503" s="1" t="str">
        <f t="shared" si="14"/>
        <v xml:space="preserve"> Indiana</v>
      </c>
      <c r="J503" s="1" t="str">
        <f t="shared" si="15"/>
        <v>Hammond city</v>
      </c>
      <c r="K503" s="1">
        <f>IF(COUNTIF($I$5:I503,I503)=1,1,0)</f>
        <v>0</v>
      </c>
    </row>
    <row r="504" spans="1:11" x14ac:dyDescent="0.2">
      <c r="A504" s="9">
        <v>500</v>
      </c>
      <c r="B504" s="5" t="s">
        <v>499</v>
      </c>
      <c r="C504" s="6">
        <v>78102</v>
      </c>
      <c r="D504" s="6">
        <v>77818</v>
      </c>
      <c r="E504" s="6">
        <v>76605</v>
      </c>
      <c r="F504" s="6">
        <v>75618</v>
      </c>
      <c r="G504" s="6">
        <v>75614</v>
      </c>
      <c r="H504" s="6">
        <v>76006</v>
      </c>
      <c r="I504" s="1" t="str">
        <f t="shared" si="14"/>
        <v xml:space="preserve"> Illinois</v>
      </c>
      <c r="J504" s="1" t="str">
        <f t="shared" si="15"/>
        <v>Evanston city</v>
      </c>
      <c r="K504" s="1">
        <f>IF(COUNTIF($I$5:I504,I504)=1,1,0)</f>
        <v>0</v>
      </c>
    </row>
    <row r="505" spans="1:11" x14ac:dyDescent="0.2">
      <c r="A505" s="9">
        <v>501</v>
      </c>
      <c r="B505" s="5" t="s">
        <v>500</v>
      </c>
      <c r="C505" s="6">
        <v>64324</v>
      </c>
      <c r="D505" s="6">
        <v>65212</v>
      </c>
      <c r="E505" s="6">
        <v>68264</v>
      </c>
      <c r="F505" s="6">
        <v>71129</v>
      </c>
      <c r="G505" s="6">
        <v>72796</v>
      </c>
      <c r="H505" s="6">
        <v>75977</v>
      </c>
      <c r="I505" s="1" t="str">
        <f t="shared" si="14"/>
        <v xml:space="preserve"> North Carolina</v>
      </c>
      <c r="J505" s="1" t="str">
        <f t="shared" si="15"/>
        <v>Apex town</v>
      </c>
      <c r="K505" s="1">
        <f>IF(COUNTIF($I$5:I505,I505)=1,1,0)</f>
        <v>0</v>
      </c>
    </row>
    <row r="506" spans="1:11" x14ac:dyDescent="0.2">
      <c r="A506" s="9">
        <v>502</v>
      </c>
      <c r="B506" s="5" t="s">
        <v>501</v>
      </c>
      <c r="C506" s="6">
        <v>76340</v>
      </c>
      <c r="D506" s="6">
        <v>76180</v>
      </c>
      <c r="E506" s="6">
        <v>76181</v>
      </c>
      <c r="F506" s="6">
        <v>75895</v>
      </c>
      <c r="G506" s="6">
        <v>75940</v>
      </c>
      <c r="H506" s="6">
        <v>75905</v>
      </c>
      <c r="I506" s="1" t="str">
        <f t="shared" si="14"/>
        <v xml:space="preserve"> Pennsylvania</v>
      </c>
      <c r="J506" s="1" t="str">
        <f t="shared" si="15"/>
        <v>Scranton city</v>
      </c>
      <c r="K506" s="1">
        <f>IF(COUNTIF($I$5:I506,I506)=1,1,0)</f>
        <v>0</v>
      </c>
    </row>
    <row r="507" spans="1:11" x14ac:dyDescent="0.2">
      <c r="A507" s="9">
        <v>503</v>
      </c>
      <c r="B507" s="5" t="s">
        <v>502</v>
      </c>
      <c r="C507" s="6">
        <v>74150</v>
      </c>
      <c r="D507" s="6">
        <v>72943</v>
      </c>
      <c r="E507" s="6">
        <v>73571</v>
      </c>
      <c r="F507" s="6">
        <v>73773</v>
      </c>
      <c r="G507" s="6">
        <v>74911</v>
      </c>
      <c r="H507" s="6">
        <v>75871</v>
      </c>
      <c r="I507" s="1" t="str">
        <f t="shared" si="14"/>
        <v xml:space="preserve"> Connecticut</v>
      </c>
      <c r="J507" s="1" t="str">
        <f t="shared" si="15"/>
        <v>New Britain city</v>
      </c>
      <c r="K507" s="1">
        <f>IF(COUNTIF($I$5:I507,I507)=1,1,0)</f>
        <v>0</v>
      </c>
    </row>
    <row r="508" spans="1:11" x14ac:dyDescent="0.2">
      <c r="A508" s="9">
        <v>504</v>
      </c>
      <c r="B508" s="5" t="s">
        <v>503</v>
      </c>
      <c r="C508" s="6">
        <v>74366</v>
      </c>
      <c r="D508" s="6">
        <v>74654</v>
      </c>
      <c r="E508" s="6">
        <v>74713</v>
      </c>
      <c r="F508" s="6">
        <v>75335</v>
      </c>
      <c r="G508" s="6">
        <v>75669</v>
      </c>
      <c r="H508" s="6">
        <v>75798</v>
      </c>
      <c r="I508" s="1" t="str">
        <f t="shared" si="14"/>
        <v xml:space="preserve"> South Carolina</v>
      </c>
      <c r="J508" s="1" t="str">
        <f t="shared" si="15"/>
        <v>Rock Hill city</v>
      </c>
      <c r="K508" s="1">
        <f>IF(COUNTIF($I$5:I508,I508)=1,1,0)</f>
        <v>0</v>
      </c>
    </row>
    <row r="509" spans="1:11" x14ac:dyDescent="0.2">
      <c r="A509" s="9">
        <v>505</v>
      </c>
      <c r="B509" s="5" t="s">
        <v>504</v>
      </c>
      <c r="C509" s="6">
        <v>79213</v>
      </c>
      <c r="D509" s="6">
        <v>78970</v>
      </c>
      <c r="E509" s="6">
        <v>77287</v>
      </c>
      <c r="F509" s="6">
        <v>76268</v>
      </c>
      <c r="G509" s="6">
        <v>75760</v>
      </c>
      <c r="H509" s="6">
        <v>75716</v>
      </c>
      <c r="I509" s="1" t="str">
        <f t="shared" si="14"/>
        <v xml:space="preserve"> California</v>
      </c>
      <c r="J509" s="1" t="str">
        <f t="shared" si="15"/>
        <v>Bellflower city</v>
      </c>
      <c r="K509" s="1">
        <f>IF(COUNTIF($I$5:I509,I509)=1,1,0)</f>
        <v>0</v>
      </c>
    </row>
    <row r="510" spans="1:11" x14ac:dyDescent="0.2">
      <c r="A510" s="9">
        <v>506</v>
      </c>
      <c r="B510" s="5" t="s">
        <v>505</v>
      </c>
      <c r="C510" s="6">
        <v>79858</v>
      </c>
      <c r="D510" s="6">
        <v>79671</v>
      </c>
      <c r="E510" s="6">
        <v>77691</v>
      </c>
      <c r="F510" s="6">
        <v>76168</v>
      </c>
      <c r="G510" s="6">
        <v>75588</v>
      </c>
      <c r="H510" s="6">
        <v>75664</v>
      </c>
      <c r="I510" s="1" t="str">
        <f t="shared" si="14"/>
        <v xml:space="preserve"> California</v>
      </c>
      <c r="J510" s="1" t="str">
        <f t="shared" si="15"/>
        <v>Pleasanton city</v>
      </c>
      <c r="K510" s="1">
        <f>IF(COUNTIF($I$5:I510,I510)=1,1,0)</f>
        <v>0</v>
      </c>
    </row>
    <row r="511" spans="1:11" x14ac:dyDescent="0.2">
      <c r="A511" s="9">
        <v>507</v>
      </c>
      <c r="B511" s="5" t="s">
        <v>506</v>
      </c>
      <c r="C511" s="6">
        <v>69924</v>
      </c>
      <c r="D511" s="6">
        <v>70360</v>
      </c>
      <c r="E511" s="6">
        <v>71383</v>
      </c>
      <c r="F511" s="6">
        <v>73164</v>
      </c>
      <c r="G511" s="6">
        <v>74353</v>
      </c>
      <c r="H511" s="6">
        <v>75639</v>
      </c>
      <c r="I511" s="1" t="str">
        <f t="shared" si="14"/>
        <v xml:space="preserve"> Arkansas</v>
      </c>
      <c r="J511" s="1" t="str">
        <f t="shared" si="15"/>
        <v>Rogers city</v>
      </c>
      <c r="K511" s="1">
        <f>IF(COUNTIF($I$5:I511,I511)=1,1,0)</f>
        <v>0</v>
      </c>
    </row>
    <row r="512" spans="1:11" x14ac:dyDescent="0.2">
      <c r="A512" s="9">
        <v>508</v>
      </c>
      <c r="B512" s="5" t="s">
        <v>507</v>
      </c>
      <c r="C512" s="6">
        <v>77663</v>
      </c>
      <c r="D512" s="6">
        <v>77399</v>
      </c>
      <c r="E512" s="6">
        <v>76061</v>
      </c>
      <c r="F512" s="6">
        <v>75276</v>
      </c>
      <c r="G512" s="6">
        <v>75066</v>
      </c>
      <c r="H512" s="6">
        <v>75596</v>
      </c>
      <c r="I512" s="1" t="str">
        <f t="shared" si="14"/>
        <v xml:space="preserve"> Illinois</v>
      </c>
      <c r="J512" s="1" t="str">
        <f t="shared" si="15"/>
        <v>Arlington Heights village</v>
      </c>
      <c r="K512" s="1">
        <f>IF(COUNTIF($I$5:I512,I512)=1,1,0)</f>
        <v>0</v>
      </c>
    </row>
    <row r="513" spans="1:11" x14ac:dyDescent="0.2">
      <c r="A513" s="9">
        <v>509</v>
      </c>
      <c r="B513" s="5" t="s">
        <v>508</v>
      </c>
      <c r="C513" s="6">
        <v>75678</v>
      </c>
      <c r="D513" s="6">
        <v>75593</v>
      </c>
      <c r="E513" s="6">
        <v>74977</v>
      </c>
      <c r="F513" s="6">
        <v>74912</v>
      </c>
      <c r="G513" s="6">
        <v>75102</v>
      </c>
      <c r="H513" s="6">
        <v>75344</v>
      </c>
      <c r="I513" s="1" t="str">
        <f t="shared" si="14"/>
        <v xml:space="preserve"> Wisconsin</v>
      </c>
      <c r="J513" s="1" t="str">
        <f t="shared" si="15"/>
        <v>Appleton city</v>
      </c>
      <c r="K513" s="1">
        <f>IF(COUNTIF($I$5:I513,I513)=1,1,0)</f>
        <v>0</v>
      </c>
    </row>
    <row r="514" spans="1:11" x14ac:dyDescent="0.2">
      <c r="A514" s="9">
        <v>510</v>
      </c>
      <c r="B514" s="5" t="s">
        <v>509</v>
      </c>
      <c r="C514" s="6">
        <v>69854</v>
      </c>
      <c r="D514" s="6">
        <v>70163</v>
      </c>
      <c r="E514" s="6">
        <v>71475</v>
      </c>
      <c r="F514" s="6">
        <v>73268</v>
      </c>
      <c r="G514" s="6">
        <v>74124</v>
      </c>
      <c r="H514" s="6">
        <v>75239</v>
      </c>
      <c r="I514" s="1" t="str">
        <f t="shared" si="14"/>
        <v xml:space="preserve"> Indiana</v>
      </c>
      <c r="J514" s="1" t="str">
        <f t="shared" si="15"/>
        <v>Noblesville city</v>
      </c>
      <c r="K514" s="1">
        <f>IF(COUNTIF($I$5:I514,I514)=1,1,0)</f>
        <v>0</v>
      </c>
    </row>
    <row r="515" spans="1:11" x14ac:dyDescent="0.2">
      <c r="A515" s="9">
        <v>511</v>
      </c>
      <c r="B515" s="5" t="s">
        <v>510</v>
      </c>
      <c r="C515" s="6">
        <v>70216</v>
      </c>
      <c r="D515" s="6">
        <v>70469</v>
      </c>
      <c r="E515" s="6">
        <v>71033</v>
      </c>
      <c r="F515" s="6">
        <v>71847</v>
      </c>
      <c r="G515" s="6">
        <v>73909</v>
      </c>
      <c r="H515" s="6">
        <v>75172</v>
      </c>
      <c r="I515" s="1" t="str">
        <f t="shared" si="14"/>
        <v xml:space="preserve"> Minnesota</v>
      </c>
      <c r="J515" s="1" t="str">
        <f t="shared" si="15"/>
        <v>Blaine city</v>
      </c>
      <c r="K515" s="1">
        <f>IF(COUNTIF($I$5:I515,I515)=1,1,0)</f>
        <v>0</v>
      </c>
    </row>
    <row r="516" spans="1:11" x14ac:dyDescent="0.2">
      <c r="A516" s="9">
        <v>512</v>
      </c>
      <c r="B516" s="5" t="s">
        <v>511</v>
      </c>
      <c r="C516" s="6">
        <v>71903</v>
      </c>
      <c r="D516" s="6">
        <v>71914</v>
      </c>
      <c r="E516" s="6">
        <v>71712</v>
      </c>
      <c r="F516" s="6">
        <v>72622</v>
      </c>
      <c r="G516" s="6">
        <v>73863</v>
      </c>
      <c r="H516" s="6">
        <v>75147</v>
      </c>
      <c r="I516" s="1" t="str">
        <f t="shared" si="14"/>
        <v xml:space="preserve"> Florida</v>
      </c>
      <c r="J516" s="1" t="str">
        <f t="shared" si="15"/>
        <v>Tamarac city</v>
      </c>
      <c r="K516" s="1">
        <f>IF(COUNTIF($I$5:I516,I516)=1,1,0)</f>
        <v>0</v>
      </c>
    </row>
    <row r="517" spans="1:11" x14ac:dyDescent="0.2">
      <c r="A517" s="9">
        <v>513</v>
      </c>
      <c r="B517" s="5" t="s">
        <v>512</v>
      </c>
      <c r="C517" s="6">
        <v>71600</v>
      </c>
      <c r="D517" s="6">
        <v>71772</v>
      </c>
      <c r="E517" s="6">
        <v>72772</v>
      </c>
      <c r="F517" s="6">
        <v>73230</v>
      </c>
      <c r="G517" s="6">
        <v>73835</v>
      </c>
      <c r="H517" s="6">
        <v>75129</v>
      </c>
      <c r="I517" s="1" t="str">
        <f t="shared" si="14"/>
        <v xml:space="preserve"> California</v>
      </c>
      <c r="J517" s="1" t="str">
        <f t="shared" si="15"/>
        <v>Rocklin city</v>
      </c>
      <c r="K517" s="1">
        <f>IF(COUNTIF($I$5:I517,I517)=1,1,0)</f>
        <v>0</v>
      </c>
    </row>
    <row r="518" spans="1:11" x14ac:dyDescent="0.2">
      <c r="A518" s="9">
        <v>514</v>
      </c>
      <c r="B518" s="5" t="s">
        <v>513</v>
      </c>
      <c r="C518" s="6">
        <v>75784</v>
      </c>
      <c r="D518" s="6">
        <v>75858</v>
      </c>
      <c r="E518" s="6">
        <v>75805</v>
      </c>
      <c r="F518" s="6">
        <v>75422</v>
      </c>
      <c r="G518" s="6">
        <v>75133</v>
      </c>
      <c r="H518" s="6">
        <v>75029</v>
      </c>
      <c r="I518" s="1" t="str">
        <f t="shared" ref="I518:I581" si="16">_xlfn.TEXTAFTER(B518,",")</f>
        <v xml:space="preserve"> California</v>
      </c>
      <c r="J518" s="1" t="str">
        <f t="shared" ref="J518:J581" si="17">_xlfn.TEXTBEFORE(B518,", ")</f>
        <v>Apple Valley town</v>
      </c>
      <c r="K518" s="1">
        <f>IF(COUNTIF($I$5:I518,I518)=1,1,0)</f>
        <v>0</v>
      </c>
    </row>
    <row r="519" spans="1:11" x14ac:dyDescent="0.2">
      <c r="A519" s="9">
        <v>515</v>
      </c>
      <c r="B519" s="5" t="s">
        <v>514</v>
      </c>
      <c r="C519" s="6">
        <v>73949</v>
      </c>
      <c r="D519" s="6">
        <v>73827</v>
      </c>
      <c r="E519" s="6">
        <v>73713</v>
      </c>
      <c r="F519" s="6">
        <v>74162</v>
      </c>
      <c r="G519" s="6">
        <v>74361</v>
      </c>
      <c r="H519" s="6">
        <v>74756</v>
      </c>
      <c r="I519" s="1" t="str">
        <f t="shared" si="16"/>
        <v xml:space="preserve"> Illinois</v>
      </c>
      <c r="J519" s="1" t="str">
        <f t="shared" si="17"/>
        <v>Bolingbrook village</v>
      </c>
      <c r="K519" s="1">
        <f>IF(COUNTIF($I$5:I519,I519)=1,1,0)</f>
        <v>0</v>
      </c>
    </row>
    <row r="520" spans="1:11" x14ac:dyDescent="0.2">
      <c r="A520" s="9">
        <v>516</v>
      </c>
      <c r="B520" s="5" t="s">
        <v>515</v>
      </c>
      <c r="C520" s="6">
        <v>72925</v>
      </c>
      <c r="D520" s="6">
        <v>72880</v>
      </c>
      <c r="E520" s="6">
        <v>72200</v>
      </c>
      <c r="F520" s="6">
        <v>72229</v>
      </c>
      <c r="G520" s="6">
        <v>73095</v>
      </c>
      <c r="H520" s="6">
        <v>74621</v>
      </c>
      <c r="I520" s="1" t="str">
        <f t="shared" si="16"/>
        <v xml:space="preserve"> Mississippi</v>
      </c>
      <c r="J520" s="1" t="str">
        <f t="shared" si="17"/>
        <v>Gulfport city</v>
      </c>
      <c r="K520" s="1">
        <f>IF(COUNTIF($I$5:I520,I520)=1,1,0)</f>
        <v>0</v>
      </c>
    </row>
    <row r="521" spans="1:11" x14ac:dyDescent="0.2">
      <c r="A521" s="9">
        <v>517</v>
      </c>
      <c r="B521" s="5" t="s">
        <v>516</v>
      </c>
      <c r="C521" s="6">
        <v>71686</v>
      </c>
      <c r="D521" s="6">
        <v>71603</v>
      </c>
      <c r="E521" s="6">
        <v>69561</v>
      </c>
      <c r="F521" s="6">
        <v>70118</v>
      </c>
      <c r="G521" s="6">
        <v>71890</v>
      </c>
      <c r="H521" s="6">
        <v>74532</v>
      </c>
      <c r="I521" s="1" t="str">
        <f t="shared" si="16"/>
        <v xml:space="preserve"> New Jersey</v>
      </c>
      <c r="J521" s="1" t="str">
        <f t="shared" si="17"/>
        <v>Bayonne city</v>
      </c>
      <c r="K521" s="1">
        <f>IF(COUNTIF($I$5:I521,I521)=1,1,0)</f>
        <v>0</v>
      </c>
    </row>
    <row r="522" spans="1:11" x14ac:dyDescent="0.2">
      <c r="A522" s="9">
        <v>518</v>
      </c>
      <c r="B522" s="5" t="s">
        <v>517</v>
      </c>
      <c r="C522" s="6">
        <v>71110</v>
      </c>
      <c r="D522" s="6">
        <v>71428</v>
      </c>
      <c r="E522" s="6">
        <v>72650</v>
      </c>
      <c r="F522" s="6">
        <v>72828</v>
      </c>
      <c r="G522" s="6">
        <v>73368</v>
      </c>
      <c r="H522" s="6">
        <v>74371</v>
      </c>
      <c r="I522" s="1" t="str">
        <f t="shared" si="16"/>
        <v xml:space="preserve"> South Carolina</v>
      </c>
      <c r="J522" s="1" t="str">
        <f t="shared" si="17"/>
        <v>Greenville city</v>
      </c>
      <c r="K522" s="1">
        <f>IF(COUNTIF($I$5:I522,I522)=1,1,0)</f>
        <v>0</v>
      </c>
    </row>
    <row r="523" spans="1:11" x14ac:dyDescent="0.2">
      <c r="A523" s="9">
        <v>519</v>
      </c>
      <c r="B523" s="5" t="s">
        <v>518</v>
      </c>
      <c r="C523" s="6">
        <v>67782</v>
      </c>
      <c r="D523" s="6">
        <v>68224</v>
      </c>
      <c r="E523" s="6">
        <v>69370</v>
      </c>
      <c r="F523" s="6">
        <v>70542</v>
      </c>
      <c r="G523" s="6">
        <v>71933</v>
      </c>
      <c r="H523" s="6">
        <v>74316</v>
      </c>
      <c r="I523" s="1" t="str">
        <f t="shared" si="16"/>
        <v xml:space="preserve"> Texas</v>
      </c>
      <c r="J523" s="1" t="str">
        <f t="shared" si="17"/>
        <v>San Marcos city</v>
      </c>
      <c r="K523" s="1">
        <f>IF(COUNTIF($I$5:I523,I523)=1,1,0)</f>
        <v>0</v>
      </c>
    </row>
    <row r="524" spans="1:11" x14ac:dyDescent="0.2">
      <c r="A524" s="9">
        <v>520</v>
      </c>
      <c r="B524" s="5" t="s">
        <v>519</v>
      </c>
      <c r="C524" s="6">
        <v>73179</v>
      </c>
      <c r="D524" s="6">
        <v>73244</v>
      </c>
      <c r="E524" s="6">
        <v>73230</v>
      </c>
      <c r="F524" s="6">
        <v>72943</v>
      </c>
      <c r="G524" s="6">
        <v>73232</v>
      </c>
      <c r="H524" s="6">
        <v>74279</v>
      </c>
      <c r="I524" s="1" t="str">
        <f t="shared" si="16"/>
        <v xml:space="preserve"> California</v>
      </c>
      <c r="J524" s="1" t="str">
        <f t="shared" si="17"/>
        <v>Redlands city</v>
      </c>
      <c r="K524" s="1">
        <f>IF(COUNTIF($I$5:I524,I524)=1,1,0)</f>
        <v>0</v>
      </c>
    </row>
    <row r="525" spans="1:11" x14ac:dyDescent="0.2">
      <c r="A525" s="9">
        <v>521</v>
      </c>
      <c r="B525" s="5" t="s">
        <v>520</v>
      </c>
      <c r="C525" s="6">
        <v>68725</v>
      </c>
      <c r="D525" s="6">
        <v>68920</v>
      </c>
      <c r="E525" s="6">
        <v>69913</v>
      </c>
      <c r="F525" s="6">
        <v>70751</v>
      </c>
      <c r="G525" s="6">
        <v>72518</v>
      </c>
      <c r="H525" s="6">
        <v>73664</v>
      </c>
      <c r="I525" s="1" t="str">
        <f t="shared" si="16"/>
        <v xml:space="preserve"> Iowa</v>
      </c>
      <c r="J525" s="1" t="str">
        <f t="shared" si="17"/>
        <v>West Des Moines city</v>
      </c>
      <c r="K525" s="1">
        <f>IF(COUNTIF($I$5:I525,I525)=1,1,0)</f>
        <v>0</v>
      </c>
    </row>
    <row r="526" spans="1:11" x14ac:dyDescent="0.2">
      <c r="A526" s="9">
        <v>522</v>
      </c>
      <c r="B526" s="5" t="s">
        <v>521</v>
      </c>
      <c r="C526" s="6">
        <v>71060</v>
      </c>
      <c r="D526" s="6">
        <v>71121</v>
      </c>
      <c r="E526" s="6">
        <v>71145</v>
      </c>
      <c r="F526" s="6">
        <v>72616</v>
      </c>
      <c r="G526" s="6">
        <v>73447</v>
      </c>
      <c r="H526" s="6">
        <v>73635</v>
      </c>
      <c r="I526" s="1" t="str">
        <f t="shared" si="16"/>
        <v xml:space="preserve"> Tennessee</v>
      </c>
      <c r="J526" s="1" t="str">
        <f t="shared" si="17"/>
        <v>Johnson City city</v>
      </c>
      <c r="K526" s="1">
        <f>IF(COUNTIF($I$5:I526,I526)=1,1,0)</f>
        <v>0</v>
      </c>
    </row>
    <row r="527" spans="1:11" x14ac:dyDescent="0.2">
      <c r="A527" s="9">
        <v>523</v>
      </c>
      <c r="B527" s="5" t="s">
        <v>522</v>
      </c>
      <c r="C527" s="6">
        <v>70250</v>
      </c>
      <c r="D527" s="6">
        <v>70564</v>
      </c>
      <c r="E527" s="6">
        <v>72156</v>
      </c>
      <c r="F527" s="6">
        <v>72860</v>
      </c>
      <c r="G527" s="6">
        <v>73179</v>
      </c>
      <c r="H527" s="6">
        <v>73595</v>
      </c>
      <c r="I527" s="1" t="str">
        <f t="shared" si="16"/>
        <v xml:space="preserve"> California</v>
      </c>
      <c r="J527" s="1" t="str">
        <f t="shared" si="17"/>
        <v>Lake Elsinore city</v>
      </c>
      <c r="K527" s="1">
        <f>IF(COUNTIF($I$5:I527,I527)=1,1,0)</f>
        <v>0</v>
      </c>
    </row>
    <row r="528" spans="1:11" x14ac:dyDescent="0.2">
      <c r="A528" s="9">
        <v>524</v>
      </c>
      <c r="B528" s="5" t="s">
        <v>523</v>
      </c>
      <c r="C528" s="6">
        <v>72377</v>
      </c>
      <c r="D528" s="6">
        <v>72129</v>
      </c>
      <c r="E528" s="6">
        <v>71796</v>
      </c>
      <c r="F528" s="6">
        <v>72115</v>
      </c>
      <c r="G528" s="6">
        <v>72624</v>
      </c>
      <c r="H528" s="6">
        <v>73361</v>
      </c>
      <c r="I528" s="1" t="str">
        <f t="shared" si="16"/>
        <v xml:space="preserve"> Massachusetts</v>
      </c>
      <c r="J528" s="1" t="str">
        <f t="shared" si="17"/>
        <v>Framingham city</v>
      </c>
      <c r="K528" s="1">
        <f>IF(COUNTIF($I$5:I528,I528)=1,1,0)</f>
        <v>0</v>
      </c>
    </row>
    <row r="529" spans="1:11" x14ac:dyDescent="0.2">
      <c r="A529" s="9">
        <v>525</v>
      </c>
      <c r="B529" s="5" t="s">
        <v>524</v>
      </c>
      <c r="C529" s="6">
        <v>73547</v>
      </c>
      <c r="D529" s="6">
        <v>73489</v>
      </c>
      <c r="E529" s="6">
        <v>72281</v>
      </c>
      <c r="F529" s="6">
        <v>72911</v>
      </c>
      <c r="G529" s="6">
        <v>73384</v>
      </c>
      <c r="H529" s="6">
        <v>73290</v>
      </c>
      <c r="I529" s="1" t="str">
        <f t="shared" si="16"/>
        <v xml:space="preserve"> Michigan</v>
      </c>
      <c r="J529" s="1" t="str">
        <f t="shared" si="17"/>
        <v>Kalamazoo city</v>
      </c>
      <c r="K529" s="1">
        <f>IF(COUNTIF($I$5:I529,I529)=1,1,0)</f>
        <v>0</v>
      </c>
    </row>
    <row r="530" spans="1:11" x14ac:dyDescent="0.2">
      <c r="A530" s="9">
        <v>526</v>
      </c>
      <c r="B530" s="5" t="s">
        <v>525</v>
      </c>
      <c r="C530" s="6">
        <v>70889</v>
      </c>
      <c r="D530" s="6">
        <v>70842</v>
      </c>
      <c r="E530" s="6">
        <v>70712</v>
      </c>
      <c r="F530" s="6">
        <v>71727</v>
      </c>
      <c r="G530" s="6">
        <v>72126</v>
      </c>
      <c r="H530" s="6">
        <v>73176</v>
      </c>
      <c r="I530" s="1" t="str">
        <f t="shared" si="16"/>
        <v xml:space="preserve"> Delaware</v>
      </c>
      <c r="J530" s="1" t="str">
        <f t="shared" si="17"/>
        <v>Wilmington city</v>
      </c>
      <c r="K530" s="1">
        <f>IF(COUNTIF($I$5:I530,I530)=1,1,0)</f>
        <v>1</v>
      </c>
    </row>
    <row r="531" spans="1:11" x14ac:dyDescent="0.2">
      <c r="A531" s="9">
        <v>527</v>
      </c>
      <c r="B531" s="5" t="s">
        <v>526</v>
      </c>
      <c r="C531" s="6">
        <v>60170</v>
      </c>
      <c r="D531" s="6">
        <v>60743</v>
      </c>
      <c r="E531" s="6">
        <v>63962</v>
      </c>
      <c r="F531" s="6">
        <v>66129</v>
      </c>
      <c r="G531" s="6">
        <v>68708</v>
      </c>
      <c r="H531" s="6">
        <v>73088</v>
      </c>
      <c r="I531" s="1" t="str">
        <f t="shared" si="16"/>
        <v xml:space="preserve"> Idaho</v>
      </c>
      <c r="J531" s="1" t="str">
        <f t="shared" si="17"/>
        <v>Caldwell city</v>
      </c>
      <c r="K531" s="1">
        <f>IF(COUNTIF($I$5:I531,I531)=1,1,0)</f>
        <v>0</v>
      </c>
    </row>
    <row r="532" spans="1:11" x14ac:dyDescent="0.2">
      <c r="A532" s="9">
        <v>528</v>
      </c>
      <c r="B532" s="5" t="s">
        <v>527</v>
      </c>
      <c r="C532" s="6">
        <v>72689</v>
      </c>
      <c r="D532" s="6">
        <v>72768</v>
      </c>
      <c r="E532" s="6">
        <v>72171</v>
      </c>
      <c r="F532" s="6">
        <v>72259</v>
      </c>
      <c r="G532" s="6">
        <v>72460</v>
      </c>
      <c r="H532" s="6">
        <v>72888</v>
      </c>
      <c r="I532" s="1" t="str">
        <f t="shared" si="16"/>
        <v xml:space="preserve"> California</v>
      </c>
      <c r="J532" s="1" t="str">
        <f t="shared" si="17"/>
        <v>Turlock city</v>
      </c>
      <c r="K532" s="1">
        <f>IF(COUNTIF($I$5:I532,I532)=1,1,0)</f>
        <v>0</v>
      </c>
    </row>
    <row r="533" spans="1:11" x14ac:dyDescent="0.2">
      <c r="A533" s="9">
        <v>529</v>
      </c>
      <c r="B533" s="5" t="s">
        <v>528</v>
      </c>
      <c r="C533" s="6">
        <v>70268</v>
      </c>
      <c r="D533" s="6">
        <v>70302</v>
      </c>
      <c r="E533" s="6">
        <v>70625</v>
      </c>
      <c r="F533" s="6">
        <v>70687</v>
      </c>
      <c r="G533" s="6">
        <v>71541</v>
      </c>
      <c r="H533" s="6">
        <v>72739</v>
      </c>
      <c r="I533" s="1" t="str">
        <f t="shared" si="16"/>
        <v xml:space="preserve"> Minnesota</v>
      </c>
      <c r="J533" s="1" t="str">
        <f t="shared" si="17"/>
        <v>Maple Grove city</v>
      </c>
      <c r="K533" s="1">
        <f>IF(COUNTIF($I$5:I533,I533)=1,1,0)</f>
        <v>0</v>
      </c>
    </row>
    <row r="534" spans="1:11" x14ac:dyDescent="0.2">
      <c r="A534" s="9">
        <v>530</v>
      </c>
      <c r="B534" s="5" t="s">
        <v>529</v>
      </c>
      <c r="C534" s="6">
        <v>68913</v>
      </c>
      <c r="D534" s="6">
        <v>69334</v>
      </c>
      <c r="E534" s="6">
        <v>70440</v>
      </c>
      <c r="F534" s="6">
        <v>70809</v>
      </c>
      <c r="G534" s="6">
        <v>71554</v>
      </c>
      <c r="H534" s="6">
        <v>72601</v>
      </c>
      <c r="I534" s="1" t="str">
        <f t="shared" si="16"/>
        <v xml:space="preserve"> California</v>
      </c>
      <c r="J534" s="1" t="str">
        <f t="shared" si="17"/>
        <v>Tulare city</v>
      </c>
      <c r="K534" s="1">
        <f>IF(COUNTIF($I$5:I534,I534)=1,1,0)</f>
        <v>0</v>
      </c>
    </row>
    <row r="535" spans="1:11" x14ac:dyDescent="0.2">
      <c r="A535" s="9">
        <v>531</v>
      </c>
      <c r="B535" s="5" t="s">
        <v>530</v>
      </c>
      <c r="C535" s="6">
        <v>70586</v>
      </c>
      <c r="D535" s="6">
        <v>70790</v>
      </c>
      <c r="E535" s="6">
        <v>71102</v>
      </c>
      <c r="F535" s="6">
        <v>71287</v>
      </c>
      <c r="G535" s="6">
        <v>72040</v>
      </c>
      <c r="H535" s="6">
        <v>72458</v>
      </c>
      <c r="I535" s="1" t="str">
        <f t="shared" si="16"/>
        <v xml:space="preserve"> Missouri</v>
      </c>
      <c r="J535" s="1" t="str">
        <f t="shared" si="17"/>
        <v>St. Charles city</v>
      </c>
      <c r="K535" s="1">
        <f>IF(COUNTIF($I$5:I535,I535)=1,1,0)</f>
        <v>0</v>
      </c>
    </row>
    <row r="536" spans="1:11" x14ac:dyDescent="0.2">
      <c r="A536" s="9">
        <v>532</v>
      </c>
      <c r="B536" s="5" t="s">
        <v>531</v>
      </c>
      <c r="C536" s="6">
        <v>69449</v>
      </c>
      <c r="D536" s="6">
        <v>69491</v>
      </c>
      <c r="E536" s="6">
        <v>69430</v>
      </c>
      <c r="F536" s="6">
        <v>70355</v>
      </c>
      <c r="G536" s="6">
        <v>71469</v>
      </c>
      <c r="H536" s="6">
        <v>72331</v>
      </c>
      <c r="I536" s="1" t="str">
        <f t="shared" si="16"/>
        <v xml:space="preserve"> Wisconsin</v>
      </c>
      <c r="J536" s="1" t="str">
        <f t="shared" si="17"/>
        <v>Eau Claire city</v>
      </c>
      <c r="K536" s="1">
        <f>IF(COUNTIF($I$5:I536,I536)=1,1,0)</f>
        <v>0</v>
      </c>
    </row>
    <row r="537" spans="1:11" x14ac:dyDescent="0.2">
      <c r="A537" s="9">
        <v>533</v>
      </c>
      <c r="B537" s="5" t="s">
        <v>532</v>
      </c>
      <c r="C537" s="6">
        <v>71989</v>
      </c>
      <c r="D537" s="6">
        <v>72045</v>
      </c>
      <c r="E537" s="6">
        <v>72192</v>
      </c>
      <c r="F537" s="6">
        <v>71955</v>
      </c>
      <c r="G537" s="6">
        <v>71954</v>
      </c>
      <c r="H537" s="6">
        <v>72234</v>
      </c>
      <c r="I537" s="1" t="str">
        <f t="shared" si="16"/>
        <v xml:space="preserve"> Texas</v>
      </c>
      <c r="J537" s="1" t="str">
        <f t="shared" si="17"/>
        <v>Harlingen city</v>
      </c>
      <c r="K537" s="1">
        <f>IF(COUNTIF($I$5:I537,I537)=1,1,0)</f>
        <v>0</v>
      </c>
    </row>
    <row r="538" spans="1:11" x14ac:dyDescent="0.2">
      <c r="A538" s="9">
        <v>534</v>
      </c>
      <c r="B538" s="5" t="s">
        <v>533</v>
      </c>
      <c r="C538" s="6">
        <v>69615</v>
      </c>
      <c r="D538" s="6">
        <v>69610</v>
      </c>
      <c r="E538" s="6">
        <v>69806</v>
      </c>
      <c r="F538" s="6">
        <v>70129</v>
      </c>
      <c r="G538" s="6">
        <v>71441</v>
      </c>
      <c r="H538" s="6">
        <v>72145</v>
      </c>
      <c r="I538" s="1" t="str">
        <f t="shared" si="16"/>
        <v xml:space="preserve"> Minnesota</v>
      </c>
      <c r="J538" s="1" t="str">
        <f t="shared" si="17"/>
        <v>St. Cloud city</v>
      </c>
      <c r="K538" s="1">
        <f>IF(COUNTIF($I$5:I538,I538)=1,1,0)</f>
        <v>0</v>
      </c>
    </row>
    <row r="539" spans="1:11" x14ac:dyDescent="0.2">
      <c r="A539" s="9">
        <v>535</v>
      </c>
      <c r="B539" s="5" t="s">
        <v>534</v>
      </c>
      <c r="C539" s="6">
        <v>73908</v>
      </c>
      <c r="D539" s="6">
        <v>73561</v>
      </c>
      <c r="E539" s="6">
        <v>72866</v>
      </c>
      <c r="F539" s="6">
        <v>71956</v>
      </c>
      <c r="G539" s="6">
        <v>71618</v>
      </c>
      <c r="H539" s="6">
        <v>71999</v>
      </c>
      <c r="I539" s="1" t="str">
        <f t="shared" si="16"/>
        <v xml:space="preserve"> New York</v>
      </c>
      <c r="J539" s="1" t="str">
        <f t="shared" si="17"/>
        <v>Mount Vernon city</v>
      </c>
      <c r="K539" s="1">
        <f>IF(COUNTIF($I$5:I539,I539)=1,1,0)</f>
        <v>0</v>
      </c>
    </row>
    <row r="540" spans="1:11" x14ac:dyDescent="0.2">
      <c r="A540" s="9">
        <v>536</v>
      </c>
      <c r="B540" s="5" t="s">
        <v>535</v>
      </c>
      <c r="C540" s="6">
        <v>69656</v>
      </c>
      <c r="D540" s="6">
        <v>69419</v>
      </c>
      <c r="E540" s="6">
        <v>68948</v>
      </c>
      <c r="F540" s="6">
        <v>69386</v>
      </c>
      <c r="G540" s="6">
        <v>70740</v>
      </c>
      <c r="H540" s="6">
        <v>71850</v>
      </c>
      <c r="I540" s="1" t="str">
        <f t="shared" si="16"/>
        <v xml:space="preserve"> New Jersey</v>
      </c>
      <c r="J540" s="1" t="str">
        <f t="shared" si="17"/>
        <v>East Orange city</v>
      </c>
      <c r="K540" s="1">
        <f>IF(COUNTIF($I$5:I540,I540)=1,1,0)</f>
        <v>0</v>
      </c>
    </row>
    <row r="541" spans="1:11" x14ac:dyDescent="0.2">
      <c r="A541" s="9">
        <v>537</v>
      </c>
      <c r="B541" s="5" t="s">
        <v>536</v>
      </c>
      <c r="C541" s="6">
        <v>70804</v>
      </c>
      <c r="D541" s="6">
        <v>70763</v>
      </c>
      <c r="E541" s="6">
        <v>70866</v>
      </c>
      <c r="F541" s="6">
        <v>71700</v>
      </c>
      <c r="G541" s="6">
        <v>71926</v>
      </c>
      <c r="H541" s="6">
        <v>71757</v>
      </c>
      <c r="I541" s="1" t="str">
        <f t="shared" si="16"/>
        <v xml:space="preserve"> Indiana</v>
      </c>
      <c r="J541" s="1" t="str">
        <f t="shared" si="17"/>
        <v>Lafayette city</v>
      </c>
      <c r="K541" s="1">
        <f>IF(COUNTIF($I$5:I541,I541)=1,1,0)</f>
        <v>0</v>
      </c>
    </row>
    <row r="542" spans="1:11" x14ac:dyDescent="0.2">
      <c r="A542" s="9">
        <v>538</v>
      </c>
      <c r="B542" s="5" t="s">
        <v>537</v>
      </c>
      <c r="C542" s="6">
        <v>71775</v>
      </c>
      <c r="D542" s="6">
        <v>71741</v>
      </c>
      <c r="E542" s="6">
        <v>71555</v>
      </c>
      <c r="F542" s="6">
        <v>70922</v>
      </c>
      <c r="G542" s="6">
        <v>71413</v>
      </c>
      <c r="H542" s="6">
        <v>71749</v>
      </c>
      <c r="I542" s="1" t="str">
        <f t="shared" si="16"/>
        <v xml:space="preserve"> New Jersey</v>
      </c>
      <c r="J542" s="1" t="str">
        <f t="shared" si="17"/>
        <v>Camden city</v>
      </c>
      <c r="K542" s="1">
        <f>IF(COUNTIF($I$5:I542,I542)=1,1,0)</f>
        <v>0</v>
      </c>
    </row>
    <row r="543" spans="1:11" x14ac:dyDescent="0.2">
      <c r="A543" s="9">
        <v>539</v>
      </c>
      <c r="B543" s="5" t="s">
        <v>538</v>
      </c>
      <c r="C543" s="6">
        <v>71068</v>
      </c>
      <c r="D543" s="6">
        <v>71105</v>
      </c>
      <c r="E543" s="6">
        <v>70990</v>
      </c>
      <c r="F543" s="6">
        <v>71215</v>
      </c>
      <c r="G543" s="6">
        <v>71317</v>
      </c>
      <c r="H543" s="6">
        <v>71650</v>
      </c>
      <c r="I543" s="1" t="str">
        <f t="shared" si="16"/>
        <v xml:space="preserve"> Alabama</v>
      </c>
      <c r="J543" s="1" t="str">
        <f t="shared" si="17"/>
        <v>Dothan city</v>
      </c>
      <c r="K543" s="1">
        <f>IF(COUNTIF($I$5:I543,I543)=1,1,0)</f>
        <v>0</v>
      </c>
    </row>
    <row r="544" spans="1:11" x14ac:dyDescent="0.2">
      <c r="A544" s="9">
        <v>540</v>
      </c>
      <c r="B544" s="5" t="s">
        <v>539</v>
      </c>
      <c r="C544" s="6">
        <v>71151</v>
      </c>
      <c r="D544" s="6">
        <v>71138</v>
      </c>
      <c r="E544" s="6">
        <v>71039</v>
      </c>
      <c r="F544" s="6">
        <v>71088</v>
      </c>
      <c r="G544" s="6">
        <v>71349</v>
      </c>
      <c r="H544" s="6">
        <v>71461</v>
      </c>
      <c r="I544" s="1" t="str">
        <f t="shared" si="16"/>
        <v xml:space="preserve"> Wisconsin</v>
      </c>
      <c r="J544" s="1" t="str">
        <f t="shared" si="17"/>
        <v>Waukesha city</v>
      </c>
      <c r="K544" s="1">
        <f>IF(COUNTIF($I$5:I544,I544)=1,1,0)</f>
        <v>0</v>
      </c>
    </row>
    <row r="545" spans="1:11" x14ac:dyDescent="0.2">
      <c r="A545" s="9">
        <v>541</v>
      </c>
      <c r="B545" s="5" t="s">
        <v>540</v>
      </c>
      <c r="C545" s="6">
        <v>69912</v>
      </c>
      <c r="D545" s="6">
        <v>70294</v>
      </c>
      <c r="E545" s="6">
        <v>70285</v>
      </c>
      <c r="F545" s="6">
        <v>70872</v>
      </c>
      <c r="G545" s="6">
        <v>71142</v>
      </c>
      <c r="H545" s="6">
        <v>71436</v>
      </c>
      <c r="I545" s="1" t="str">
        <f t="shared" si="16"/>
        <v xml:space="preserve"> Texas</v>
      </c>
      <c r="J545" s="1" t="str">
        <f t="shared" si="17"/>
        <v>North Richland Hills city</v>
      </c>
      <c r="K545" s="1">
        <f>IF(COUNTIF($I$5:I545,I545)=1,1,0)</f>
        <v>0</v>
      </c>
    </row>
    <row r="546" spans="1:11" x14ac:dyDescent="0.2">
      <c r="A546" s="9">
        <v>542</v>
      </c>
      <c r="B546" s="5" t="s">
        <v>541</v>
      </c>
      <c r="C546" s="6">
        <v>72479</v>
      </c>
      <c r="D546" s="6">
        <v>72153</v>
      </c>
      <c r="E546" s="6">
        <v>71400</v>
      </c>
      <c r="F546" s="6">
        <v>70702</v>
      </c>
      <c r="G546" s="6">
        <v>70853</v>
      </c>
      <c r="H546" s="6">
        <v>71098</v>
      </c>
      <c r="I546" s="1" t="str">
        <f t="shared" si="16"/>
        <v xml:space="preserve"> Missouri</v>
      </c>
      <c r="J546" s="1" t="str">
        <f t="shared" si="17"/>
        <v>St. Joseph city</v>
      </c>
      <c r="K546" s="1">
        <f>IF(COUNTIF($I$5:I546,I546)=1,1,0)</f>
        <v>0</v>
      </c>
    </row>
    <row r="547" spans="1:11" x14ac:dyDescent="0.2">
      <c r="A547" s="9">
        <v>543</v>
      </c>
      <c r="B547" s="5" t="s">
        <v>542</v>
      </c>
      <c r="C547" s="6">
        <v>58974</v>
      </c>
      <c r="D547" s="6">
        <v>59451</v>
      </c>
      <c r="E547" s="6">
        <v>62150</v>
      </c>
      <c r="F547" s="6">
        <v>65120</v>
      </c>
      <c r="G547" s="6">
        <v>67895</v>
      </c>
      <c r="H547" s="6">
        <v>71036</v>
      </c>
      <c r="I547" s="1" t="str">
        <f t="shared" si="16"/>
        <v xml:space="preserve"> Florida</v>
      </c>
      <c r="J547" s="1" t="str">
        <f t="shared" si="17"/>
        <v>St. Cloud city</v>
      </c>
      <c r="K547" s="1">
        <f>IF(COUNTIF($I$5:I547,I547)=1,1,0)</f>
        <v>0</v>
      </c>
    </row>
    <row r="548" spans="1:11" x14ac:dyDescent="0.2">
      <c r="A548" s="9">
        <v>544</v>
      </c>
      <c r="B548" s="5" t="s">
        <v>543</v>
      </c>
      <c r="C548" s="6">
        <v>72740</v>
      </c>
      <c r="D548" s="6">
        <v>73270</v>
      </c>
      <c r="E548" s="6">
        <v>70479</v>
      </c>
      <c r="F548" s="6">
        <v>70652</v>
      </c>
      <c r="G548" s="6">
        <v>71126</v>
      </c>
      <c r="H548" s="6">
        <v>70840</v>
      </c>
      <c r="I548" s="1" t="str">
        <f t="shared" si="16"/>
        <v xml:space="preserve"> North Carolina</v>
      </c>
      <c r="J548" s="1" t="str">
        <f t="shared" si="17"/>
        <v>Jacksonville city</v>
      </c>
      <c r="K548" s="1">
        <f>IF(COUNTIF($I$5:I548,I548)=1,1,0)</f>
        <v>0</v>
      </c>
    </row>
    <row r="549" spans="1:11" x14ac:dyDescent="0.2">
      <c r="A549" s="9">
        <v>545</v>
      </c>
      <c r="B549" s="5" t="s">
        <v>544</v>
      </c>
      <c r="C549" s="6">
        <v>70131</v>
      </c>
      <c r="D549" s="6">
        <v>70218</v>
      </c>
      <c r="E549" s="6">
        <v>69973</v>
      </c>
      <c r="F549" s="6">
        <v>69547</v>
      </c>
      <c r="G549" s="6">
        <v>69806</v>
      </c>
      <c r="H549" s="6">
        <v>70817</v>
      </c>
      <c r="I549" s="1" t="str">
        <f t="shared" si="16"/>
        <v xml:space="preserve"> California</v>
      </c>
      <c r="J549" s="1" t="str">
        <f t="shared" si="17"/>
        <v>Walnut Creek city</v>
      </c>
      <c r="K549" s="1">
        <f>IF(COUNTIF($I$5:I549,I549)=1,1,0)</f>
        <v>0</v>
      </c>
    </row>
    <row r="550" spans="1:11" x14ac:dyDescent="0.2">
      <c r="A550" s="9">
        <v>546</v>
      </c>
      <c r="B550" s="5" t="s">
        <v>545</v>
      </c>
      <c r="C550" s="6">
        <v>69751</v>
      </c>
      <c r="D550" s="6">
        <v>70039</v>
      </c>
      <c r="E550" s="6">
        <v>70941</v>
      </c>
      <c r="F550" s="6">
        <v>70783</v>
      </c>
      <c r="G550" s="6">
        <v>70691</v>
      </c>
      <c r="H550" s="6">
        <v>70751</v>
      </c>
      <c r="I550" s="1" t="str">
        <f t="shared" si="16"/>
        <v xml:space="preserve"> California</v>
      </c>
      <c r="J550" s="1" t="str">
        <f t="shared" si="17"/>
        <v>Eastvale city</v>
      </c>
      <c r="K550" s="1">
        <f>IF(COUNTIF($I$5:I550,I550)=1,1,0)</f>
        <v>0</v>
      </c>
    </row>
    <row r="551" spans="1:11" x14ac:dyDescent="0.2">
      <c r="A551" s="9">
        <v>547</v>
      </c>
      <c r="B551" s="5" t="s">
        <v>546</v>
      </c>
      <c r="C551" s="6">
        <v>70547</v>
      </c>
      <c r="D551" s="6">
        <v>70318</v>
      </c>
      <c r="E551" s="6">
        <v>69748</v>
      </c>
      <c r="F551" s="6">
        <v>69452</v>
      </c>
      <c r="G551" s="6">
        <v>69837</v>
      </c>
      <c r="H551" s="6">
        <v>70722</v>
      </c>
      <c r="I551" s="1" t="str">
        <f t="shared" si="16"/>
        <v xml:space="preserve"> New Jersey</v>
      </c>
      <c r="J551" s="1" t="str">
        <f t="shared" si="17"/>
        <v>Passaic city</v>
      </c>
      <c r="K551" s="1">
        <f>IF(COUNTIF($I$5:I551,I551)=1,1,0)</f>
        <v>0</v>
      </c>
    </row>
    <row r="552" spans="1:11" x14ac:dyDescent="0.2">
      <c r="A552" s="9">
        <v>548</v>
      </c>
      <c r="B552" s="5" t="s">
        <v>547</v>
      </c>
      <c r="C552" s="6">
        <v>64154</v>
      </c>
      <c r="D552" s="6">
        <v>64364</v>
      </c>
      <c r="E552" s="6">
        <v>65936</v>
      </c>
      <c r="F552" s="6">
        <v>67685</v>
      </c>
      <c r="G552" s="6">
        <v>69531</v>
      </c>
      <c r="H552" s="6">
        <v>70711</v>
      </c>
      <c r="I552" s="1" t="str">
        <f t="shared" si="16"/>
        <v xml:space="preserve"> Arkansas</v>
      </c>
      <c r="J552" s="1" t="str">
        <f t="shared" si="17"/>
        <v>Conway city</v>
      </c>
      <c r="K552" s="1">
        <f>IF(COUNTIF($I$5:I552,I552)=1,1,0)</f>
        <v>0</v>
      </c>
    </row>
    <row r="553" spans="1:11" x14ac:dyDescent="0.2">
      <c r="A553" s="9">
        <v>549</v>
      </c>
      <c r="B553" s="5" t="s">
        <v>548</v>
      </c>
      <c r="C553" s="6">
        <v>69629</v>
      </c>
      <c r="D553" s="6">
        <v>69477</v>
      </c>
      <c r="E553" s="6">
        <v>69178</v>
      </c>
      <c r="F553" s="6">
        <v>69515</v>
      </c>
      <c r="G553" s="6">
        <v>70268</v>
      </c>
      <c r="H553" s="6">
        <v>70686</v>
      </c>
      <c r="I553" s="1" t="str">
        <f t="shared" si="16"/>
        <v xml:space="preserve"> Maryland</v>
      </c>
      <c r="J553" s="1" t="str">
        <f t="shared" si="17"/>
        <v>Gaithersburg city</v>
      </c>
      <c r="K553" s="1">
        <f>IF(COUNTIF($I$5:I553,I553)=1,1,0)</f>
        <v>0</v>
      </c>
    </row>
    <row r="554" spans="1:11" x14ac:dyDescent="0.2">
      <c r="A554" s="9">
        <v>550</v>
      </c>
      <c r="B554" s="5" t="s">
        <v>549</v>
      </c>
      <c r="C554" s="6">
        <v>68114</v>
      </c>
      <c r="D554" s="6">
        <v>68008</v>
      </c>
      <c r="E554" s="6">
        <v>67488</v>
      </c>
      <c r="F554" s="6">
        <v>68353</v>
      </c>
      <c r="G554" s="6">
        <v>69591</v>
      </c>
      <c r="H554" s="6">
        <v>70674</v>
      </c>
      <c r="I554" s="1" t="str">
        <f t="shared" si="16"/>
        <v xml:space="preserve"> Florida</v>
      </c>
      <c r="J554" s="1" t="str">
        <f t="shared" si="17"/>
        <v>Weston city</v>
      </c>
      <c r="K554" s="1">
        <f>IF(COUNTIF($I$5:I554,I554)=1,1,0)</f>
        <v>0</v>
      </c>
    </row>
    <row r="555" spans="1:11" x14ac:dyDescent="0.2">
      <c r="A555" s="9">
        <v>551</v>
      </c>
      <c r="B555" s="5" t="s">
        <v>550</v>
      </c>
      <c r="C555" s="6">
        <v>65641</v>
      </c>
      <c r="D555" s="6">
        <v>65759</v>
      </c>
      <c r="E555" s="6">
        <v>66893</v>
      </c>
      <c r="F555" s="6">
        <v>68071</v>
      </c>
      <c r="G555" s="6">
        <v>69448</v>
      </c>
      <c r="H555" s="6">
        <v>70554</v>
      </c>
      <c r="I555" s="1" t="str">
        <f t="shared" si="16"/>
        <v xml:space="preserve"> Colorado</v>
      </c>
      <c r="J555" s="1" t="str">
        <f t="shared" si="17"/>
        <v>Grand Junction city</v>
      </c>
      <c r="K555" s="1">
        <f>IF(COUNTIF($I$5:I555,I555)=1,1,0)</f>
        <v>0</v>
      </c>
    </row>
    <row r="556" spans="1:11" x14ac:dyDescent="0.2">
      <c r="A556" s="9">
        <v>552</v>
      </c>
      <c r="B556" s="5" t="s">
        <v>551</v>
      </c>
      <c r="C556" s="6">
        <v>72526</v>
      </c>
      <c r="D556" s="6">
        <v>72281</v>
      </c>
      <c r="E556" s="6">
        <v>70802</v>
      </c>
      <c r="F556" s="6">
        <v>70187</v>
      </c>
      <c r="G556" s="6">
        <v>70123</v>
      </c>
      <c r="H556" s="6">
        <v>70544</v>
      </c>
      <c r="I556" s="1" t="str">
        <f t="shared" si="16"/>
        <v xml:space="preserve"> California</v>
      </c>
      <c r="J556" s="1" t="str">
        <f t="shared" si="17"/>
        <v>Dublin city</v>
      </c>
      <c r="K556" s="1">
        <f>IF(COUNTIF($I$5:I556,I556)=1,1,0)</f>
        <v>0</v>
      </c>
    </row>
    <row r="557" spans="1:11" x14ac:dyDescent="0.2">
      <c r="A557" s="9">
        <v>553</v>
      </c>
      <c r="B557" s="5" t="s">
        <v>552</v>
      </c>
      <c r="C557" s="6">
        <v>63678</v>
      </c>
      <c r="D557" s="6">
        <v>63885</v>
      </c>
      <c r="E557" s="6">
        <v>64392</v>
      </c>
      <c r="F557" s="6">
        <v>65655</v>
      </c>
      <c r="G557" s="6">
        <v>68829</v>
      </c>
      <c r="H557" s="6">
        <v>70251</v>
      </c>
      <c r="I557" s="1" t="str">
        <f t="shared" si="16"/>
        <v xml:space="preserve"> Florida</v>
      </c>
      <c r="J557" s="1" t="str">
        <f t="shared" si="17"/>
        <v>Ocala city</v>
      </c>
      <c r="K557" s="1">
        <f>IF(COUNTIF($I$5:I557,I557)=1,1,0)</f>
        <v>0</v>
      </c>
    </row>
    <row r="558" spans="1:11" x14ac:dyDescent="0.2">
      <c r="A558" s="9">
        <v>554</v>
      </c>
      <c r="B558" s="5" t="s">
        <v>553</v>
      </c>
      <c r="C558" s="6">
        <v>62431</v>
      </c>
      <c r="D558" s="6">
        <v>62788</v>
      </c>
      <c r="E558" s="6">
        <v>64439</v>
      </c>
      <c r="F558" s="6">
        <v>66235</v>
      </c>
      <c r="G558" s="6">
        <v>68552</v>
      </c>
      <c r="H558" s="6">
        <v>70245</v>
      </c>
      <c r="I558" s="1" t="str">
        <f t="shared" si="16"/>
        <v xml:space="preserve"> Colorado</v>
      </c>
      <c r="J558" s="1" t="str">
        <f t="shared" si="17"/>
        <v>Commerce City city</v>
      </c>
      <c r="K558" s="1">
        <f>IF(COUNTIF($I$5:I558,I558)=1,1,0)</f>
        <v>0</v>
      </c>
    </row>
    <row r="559" spans="1:11" x14ac:dyDescent="0.2">
      <c r="A559" s="9">
        <v>555</v>
      </c>
      <c r="B559" s="5" t="s">
        <v>554</v>
      </c>
      <c r="C559" s="6">
        <v>66846</v>
      </c>
      <c r="D559" s="6">
        <v>66815</v>
      </c>
      <c r="E559" s="6">
        <v>66672</v>
      </c>
      <c r="F559" s="6">
        <v>67587</v>
      </c>
      <c r="G559" s="6">
        <v>68594</v>
      </c>
      <c r="H559" s="6">
        <v>70140</v>
      </c>
      <c r="I559" s="1" t="str">
        <f t="shared" si="16"/>
        <v xml:space="preserve"> Florida</v>
      </c>
      <c r="J559" s="1" t="str">
        <f t="shared" si="17"/>
        <v>Delray Beach city</v>
      </c>
      <c r="K559" s="1">
        <f>IF(COUNTIF($I$5:I559,I559)=1,1,0)</f>
        <v>0</v>
      </c>
    </row>
    <row r="560" spans="1:11" x14ac:dyDescent="0.2">
      <c r="A560" s="9">
        <v>556</v>
      </c>
      <c r="B560" s="5" t="s">
        <v>555</v>
      </c>
      <c r="C560" s="6">
        <v>70731</v>
      </c>
      <c r="D560" s="6">
        <v>70721</v>
      </c>
      <c r="E560" s="6">
        <v>70551</v>
      </c>
      <c r="F560" s="6">
        <v>70029</v>
      </c>
      <c r="G560" s="6">
        <v>69775</v>
      </c>
      <c r="H560" s="6">
        <v>69881</v>
      </c>
      <c r="I560" s="1" t="str">
        <f t="shared" si="16"/>
        <v xml:space="preserve"> California</v>
      </c>
      <c r="J560" s="1" t="str">
        <f t="shared" si="17"/>
        <v>Camarillo city</v>
      </c>
      <c r="K560" s="1">
        <f>IF(COUNTIF($I$5:I560,I560)=1,1,0)</f>
        <v>0</v>
      </c>
    </row>
    <row r="561" spans="1:11" x14ac:dyDescent="0.2">
      <c r="A561" s="9">
        <v>557</v>
      </c>
      <c r="B561" s="5" t="s">
        <v>556</v>
      </c>
      <c r="C561" s="6">
        <v>67315</v>
      </c>
      <c r="D561" s="6">
        <v>67430</v>
      </c>
      <c r="E561" s="6">
        <v>67452</v>
      </c>
      <c r="F561" s="6">
        <v>68778</v>
      </c>
      <c r="G561" s="6">
        <v>69264</v>
      </c>
      <c r="H561" s="6">
        <v>69724</v>
      </c>
      <c r="I561" s="1" t="str">
        <f t="shared" si="16"/>
        <v xml:space="preserve"> Kansas</v>
      </c>
      <c r="J561" s="1" t="str">
        <f t="shared" si="17"/>
        <v>Shawnee city</v>
      </c>
      <c r="K561" s="1">
        <f>IF(COUNTIF($I$5:I561,I561)=1,1,0)</f>
        <v>0</v>
      </c>
    </row>
    <row r="562" spans="1:11" x14ac:dyDescent="0.2">
      <c r="A562" s="9">
        <v>558</v>
      </c>
      <c r="B562" s="5" t="s">
        <v>557</v>
      </c>
      <c r="C562" s="6">
        <v>68409</v>
      </c>
      <c r="D562" s="6">
        <v>68496</v>
      </c>
      <c r="E562" s="6">
        <v>68442</v>
      </c>
      <c r="F562" s="6">
        <v>68457</v>
      </c>
      <c r="G562" s="6">
        <v>69367</v>
      </c>
      <c r="H562" s="6">
        <v>69568</v>
      </c>
      <c r="I562" s="1" t="str">
        <f t="shared" si="16"/>
        <v xml:space="preserve"> Maine</v>
      </c>
      <c r="J562" s="1" t="str">
        <f t="shared" si="17"/>
        <v>Portland city</v>
      </c>
      <c r="K562" s="1">
        <f>IF(COUNTIF($I$5:I562,I562)=1,1,0)</f>
        <v>1</v>
      </c>
    </row>
    <row r="563" spans="1:11" x14ac:dyDescent="0.2">
      <c r="A563" s="9">
        <v>559</v>
      </c>
      <c r="B563" s="5" t="s">
        <v>558</v>
      </c>
      <c r="C563" s="6">
        <v>65622</v>
      </c>
      <c r="D563" s="6">
        <v>65929</v>
      </c>
      <c r="E563" s="6">
        <v>67192</v>
      </c>
      <c r="F563" s="6">
        <v>67852</v>
      </c>
      <c r="G563" s="6">
        <v>68072</v>
      </c>
      <c r="H563" s="6">
        <v>69523</v>
      </c>
      <c r="I563" s="1" t="str">
        <f t="shared" si="16"/>
        <v xml:space="preserve"> Idaho</v>
      </c>
      <c r="J563" s="1" t="str">
        <f t="shared" si="17"/>
        <v>Idaho Falls city</v>
      </c>
      <c r="K563" s="1">
        <f>IF(COUNTIF($I$5:I563,I563)=1,1,0)</f>
        <v>0</v>
      </c>
    </row>
    <row r="564" spans="1:11" x14ac:dyDescent="0.2">
      <c r="A564" s="9">
        <v>560</v>
      </c>
      <c r="B564" s="5" t="s">
        <v>559</v>
      </c>
      <c r="C564" s="6">
        <v>67039</v>
      </c>
      <c r="D564" s="6">
        <v>68347</v>
      </c>
      <c r="E564" s="6">
        <v>68922</v>
      </c>
      <c r="F564" s="6">
        <v>68687</v>
      </c>
      <c r="G564" s="6">
        <v>68782</v>
      </c>
      <c r="H564" s="6">
        <v>69495</v>
      </c>
      <c r="I564" s="1" t="str">
        <f t="shared" si="16"/>
        <v xml:space="preserve"> New York</v>
      </c>
      <c r="J564" s="1" t="str">
        <f t="shared" si="17"/>
        <v>Schenectady city</v>
      </c>
      <c r="K564" s="1">
        <f>IF(COUNTIF($I$5:I564,I564)=1,1,0)</f>
        <v>0</v>
      </c>
    </row>
    <row r="565" spans="1:11" x14ac:dyDescent="0.2">
      <c r="A565" s="9">
        <v>561</v>
      </c>
      <c r="B565" s="5" t="s">
        <v>560</v>
      </c>
      <c r="C565" s="6">
        <v>68214</v>
      </c>
      <c r="D565" s="6">
        <v>68200</v>
      </c>
      <c r="E565" s="6">
        <v>67881</v>
      </c>
      <c r="F565" s="6">
        <v>68365</v>
      </c>
      <c r="G565" s="6">
        <v>68391</v>
      </c>
      <c r="H565" s="6">
        <v>69303</v>
      </c>
      <c r="I565" s="1" t="str">
        <f t="shared" si="16"/>
        <v xml:space="preserve"> Tennessee</v>
      </c>
      <c r="J565" s="1" t="str">
        <f t="shared" si="17"/>
        <v>Jackson city</v>
      </c>
      <c r="K565" s="1">
        <f>IF(COUNTIF($I$5:I565,I565)=1,1,0)</f>
        <v>0</v>
      </c>
    </row>
    <row r="566" spans="1:11" x14ac:dyDescent="0.2">
      <c r="A566" s="9">
        <v>562</v>
      </c>
      <c r="B566" s="5" t="s">
        <v>561</v>
      </c>
      <c r="C566" s="6">
        <v>72191</v>
      </c>
      <c r="D566" s="6">
        <v>71965</v>
      </c>
      <c r="E566" s="6">
        <v>70483</v>
      </c>
      <c r="F566" s="6">
        <v>69680</v>
      </c>
      <c r="G566" s="6">
        <v>69303</v>
      </c>
      <c r="H566" s="6">
        <v>69247</v>
      </c>
      <c r="I566" s="1" t="str">
        <f t="shared" si="16"/>
        <v xml:space="preserve"> California</v>
      </c>
      <c r="J566" s="1" t="str">
        <f t="shared" si="17"/>
        <v>Baldwin Park city</v>
      </c>
      <c r="K566" s="1">
        <f>IF(COUNTIF($I$5:I566,I566)=1,1,0)</f>
        <v>0</v>
      </c>
    </row>
    <row r="567" spans="1:11" x14ac:dyDescent="0.2">
      <c r="A567" s="9">
        <v>563</v>
      </c>
      <c r="B567" s="5" t="s">
        <v>562</v>
      </c>
      <c r="C567" s="6">
        <v>70743</v>
      </c>
      <c r="D567" s="6">
        <v>70611</v>
      </c>
      <c r="E567" s="6">
        <v>70164</v>
      </c>
      <c r="F567" s="6">
        <v>69592</v>
      </c>
      <c r="G567" s="6">
        <v>69230</v>
      </c>
      <c r="H567" s="6">
        <v>69211</v>
      </c>
      <c r="I567" s="1" t="str">
        <f t="shared" si="16"/>
        <v xml:space="preserve"> Ohio</v>
      </c>
      <c r="J567" s="1" t="str">
        <f t="shared" si="17"/>
        <v>Canton city</v>
      </c>
      <c r="K567" s="1">
        <f>IF(COUNTIF($I$5:I567,I567)=1,1,0)</f>
        <v>0</v>
      </c>
    </row>
    <row r="568" spans="1:11" x14ac:dyDescent="0.2">
      <c r="A568" s="9">
        <v>564</v>
      </c>
      <c r="B568" s="5" t="s">
        <v>563</v>
      </c>
      <c r="C568" s="6">
        <v>70213</v>
      </c>
      <c r="D568" s="6">
        <v>70072</v>
      </c>
      <c r="E568" s="6">
        <v>69691</v>
      </c>
      <c r="F568" s="6">
        <v>69313</v>
      </c>
      <c r="G568" s="6">
        <v>69116</v>
      </c>
      <c r="H568" s="6">
        <v>69148</v>
      </c>
      <c r="I568" s="1" t="str">
        <f t="shared" si="16"/>
        <v xml:space="preserve"> California</v>
      </c>
      <c r="J568" s="1" t="str">
        <f t="shared" si="17"/>
        <v>Yuba City city</v>
      </c>
      <c r="K568" s="1">
        <f>IF(COUNTIF($I$5:I568,I568)=1,1,0)</f>
        <v>0</v>
      </c>
    </row>
    <row r="569" spans="1:11" x14ac:dyDescent="0.2">
      <c r="A569" s="9">
        <v>565</v>
      </c>
      <c r="B569" s="5" t="s">
        <v>564</v>
      </c>
      <c r="C569" s="6">
        <v>66281</v>
      </c>
      <c r="D569" s="6">
        <v>66521</v>
      </c>
      <c r="E569" s="6">
        <v>67473</v>
      </c>
      <c r="F569" s="6">
        <v>67640</v>
      </c>
      <c r="G569" s="6">
        <v>68399</v>
      </c>
      <c r="H569" s="6">
        <v>69094</v>
      </c>
      <c r="I569" s="1" t="str">
        <f t="shared" si="16"/>
        <v xml:space="preserve"> California</v>
      </c>
      <c r="J569" s="1" t="str">
        <f t="shared" si="17"/>
        <v>Madera city</v>
      </c>
      <c r="K569" s="1">
        <f>IF(COUNTIF($I$5:I569,I569)=1,1,0)</f>
        <v>0</v>
      </c>
    </row>
    <row r="570" spans="1:11" x14ac:dyDescent="0.2">
      <c r="A570" s="9">
        <v>566</v>
      </c>
      <c r="B570" s="5" t="s">
        <v>565</v>
      </c>
      <c r="C570" s="6">
        <v>66432</v>
      </c>
      <c r="D570" s="6">
        <v>66490</v>
      </c>
      <c r="E570" s="6">
        <v>67028</v>
      </c>
      <c r="F570" s="6">
        <v>67329</v>
      </c>
      <c r="G570" s="6">
        <v>68428</v>
      </c>
      <c r="H570" s="6">
        <v>69026</v>
      </c>
      <c r="I570" s="1" t="str">
        <f t="shared" si="16"/>
        <v xml:space="preserve"> Iowa</v>
      </c>
      <c r="J570" s="1" t="str">
        <f t="shared" si="17"/>
        <v>Ames city</v>
      </c>
      <c r="K570" s="1">
        <f>IF(COUNTIF($I$5:I570,I570)=1,1,0)</f>
        <v>0</v>
      </c>
    </row>
    <row r="571" spans="1:11" x14ac:dyDescent="0.2">
      <c r="A571" s="9">
        <v>567</v>
      </c>
      <c r="B571" s="5" t="s">
        <v>566</v>
      </c>
      <c r="C571" s="6">
        <v>53660</v>
      </c>
      <c r="D571" s="6">
        <v>54126</v>
      </c>
      <c r="E571" s="6">
        <v>57429</v>
      </c>
      <c r="F571" s="6">
        <v>60109</v>
      </c>
      <c r="G571" s="6">
        <v>64027</v>
      </c>
      <c r="H571" s="6">
        <v>68927</v>
      </c>
      <c r="I571" s="1" t="str">
        <f t="shared" si="16"/>
        <v xml:space="preserve"> Arizona</v>
      </c>
      <c r="J571" s="1" t="str">
        <f t="shared" si="17"/>
        <v>Casa Grande city</v>
      </c>
      <c r="K571" s="1">
        <f>IF(COUNTIF($I$5:I571,I571)=1,1,0)</f>
        <v>0</v>
      </c>
    </row>
    <row r="572" spans="1:11" x14ac:dyDescent="0.2">
      <c r="A572" s="9">
        <v>568</v>
      </c>
      <c r="B572" s="5" t="s">
        <v>567</v>
      </c>
      <c r="C572" s="6">
        <v>71152</v>
      </c>
      <c r="D572" s="6">
        <v>70978</v>
      </c>
      <c r="E572" s="6">
        <v>70146</v>
      </c>
      <c r="F572" s="6">
        <v>69269</v>
      </c>
      <c r="G572" s="6">
        <v>68824</v>
      </c>
      <c r="H572" s="6">
        <v>68763</v>
      </c>
      <c r="I572" s="1" t="str">
        <f t="shared" si="16"/>
        <v xml:space="preserve"> Illinois</v>
      </c>
      <c r="J572" s="1" t="str">
        <f t="shared" si="17"/>
        <v>Decatur city</v>
      </c>
      <c r="K572" s="1">
        <f>IF(COUNTIF($I$5:I572,I572)=1,1,0)</f>
        <v>0</v>
      </c>
    </row>
    <row r="573" spans="1:11" x14ac:dyDescent="0.2">
      <c r="A573" s="9">
        <v>569</v>
      </c>
      <c r="B573" s="5" t="s">
        <v>568</v>
      </c>
      <c r="C573" s="6">
        <v>66339</v>
      </c>
      <c r="D573" s="6">
        <v>66440</v>
      </c>
      <c r="E573" s="6">
        <v>67106</v>
      </c>
      <c r="F573" s="6">
        <v>67665</v>
      </c>
      <c r="G573" s="6">
        <v>68137</v>
      </c>
      <c r="H573" s="6">
        <v>68642</v>
      </c>
      <c r="I573" s="1" t="str">
        <f t="shared" si="16"/>
        <v xml:space="preserve"> California</v>
      </c>
      <c r="J573" s="1" t="str">
        <f t="shared" si="17"/>
        <v>Lodi city</v>
      </c>
      <c r="K573" s="1">
        <f>IF(COUNTIF($I$5:I573,I573)=1,1,0)</f>
        <v>0</v>
      </c>
    </row>
    <row r="574" spans="1:11" x14ac:dyDescent="0.2">
      <c r="A574" s="9">
        <v>570</v>
      </c>
      <c r="B574" s="5" t="s">
        <v>569</v>
      </c>
      <c r="C574" s="6">
        <v>67099</v>
      </c>
      <c r="D574" s="6">
        <v>67337</v>
      </c>
      <c r="E574" s="6">
        <v>67219</v>
      </c>
      <c r="F574" s="6">
        <v>67462</v>
      </c>
      <c r="G574" s="6">
        <v>67966</v>
      </c>
      <c r="H574" s="6">
        <v>68417</v>
      </c>
      <c r="I574" s="1" t="str">
        <f t="shared" si="16"/>
        <v xml:space="preserve"> Maryland</v>
      </c>
      <c r="J574" s="1" t="str">
        <f t="shared" si="17"/>
        <v>Rockville city</v>
      </c>
      <c r="K574" s="1">
        <f>IF(COUNTIF($I$5:I574,I574)=1,1,0)</f>
        <v>0</v>
      </c>
    </row>
    <row r="575" spans="1:11" x14ac:dyDescent="0.2">
      <c r="A575" s="9">
        <v>571</v>
      </c>
      <c r="B575" s="5" t="s">
        <v>570</v>
      </c>
      <c r="C575" s="6">
        <v>67776</v>
      </c>
      <c r="D575" s="6">
        <v>67636</v>
      </c>
      <c r="E575" s="6">
        <v>67368</v>
      </c>
      <c r="F575" s="6">
        <v>67420</v>
      </c>
      <c r="G575" s="6">
        <v>67843</v>
      </c>
      <c r="H575" s="6">
        <v>68291</v>
      </c>
      <c r="I575" s="1" t="str">
        <f t="shared" si="16"/>
        <v xml:space="preserve"> Massachusetts</v>
      </c>
      <c r="J575" s="1" t="str">
        <f t="shared" si="17"/>
        <v>Haverhill city</v>
      </c>
      <c r="K575" s="1">
        <f>IF(COUNTIF($I$5:I575,I575)=1,1,0)</f>
        <v>0</v>
      </c>
    </row>
    <row r="576" spans="1:11" x14ac:dyDescent="0.2">
      <c r="A576" s="9">
        <v>572</v>
      </c>
      <c r="B576" s="5" t="s">
        <v>571</v>
      </c>
      <c r="C576" s="6">
        <v>63822</v>
      </c>
      <c r="D576" s="6">
        <v>63979</v>
      </c>
      <c r="E576" s="6">
        <v>64884</v>
      </c>
      <c r="F576" s="6">
        <v>65452</v>
      </c>
      <c r="G576" s="6">
        <v>66466</v>
      </c>
      <c r="H576" s="6">
        <v>68175</v>
      </c>
      <c r="I576" s="1" t="str">
        <f t="shared" si="16"/>
        <v xml:space="preserve"> Indiana</v>
      </c>
      <c r="J576" s="1" t="str">
        <f t="shared" si="17"/>
        <v>Greenwood city</v>
      </c>
      <c r="K576" s="1">
        <f>IF(COUNTIF($I$5:I576,I576)=1,1,0)</f>
        <v>0</v>
      </c>
    </row>
    <row r="577" spans="1:11" x14ac:dyDescent="0.2">
      <c r="A577" s="9">
        <v>573</v>
      </c>
      <c r="B577" s="5" t="s">
        <v>572</v>
      </c>
      <c r="C577" s="6">
        <v>62553</v>
      </c>
      <c r="D577" s="6">
        <v>62769</v>
      </c>
      <c r="E577" s="6">
        <v>63727</v>
      </c>
      <c r="F577" s="6">
        <v>65229</v>
      </c>
      <c r="G577" s="6">
        <v>67481</v>
      </c>
      <c r="H577" s="6">
        <v>68123</v>
      </c>
      <c r="I577" s="1" t="str">
        <f t="shared" si="16"/>
        <v xml:space="preserve"> Texas</v>
      </c>
      <c r="J577" s="1" t="str">
        <f t="shared" si="17"/>
        <v>Rowlett city</v>
      </c>
      <c r="K577" s="1">
        <f>IF(COUNTIF($I$5:I577,I577)=1,1,0)</f>
        <v>0</v>
      </c>
    </row>
    <row r="578" spans="1:11" x14ac:dyDescent="0.2">
      <c r="A578" s="9">
        <v>574</v>
      </c>
      <c r="B578" s="5" t="s">
        <v>573</v>
      </c>
      <c r="C578" s="6">
        <v>71583</v>
      </c>
      <c r="D578" s="6">
        <v>71358</v>
      </c>
      <c r="E578" s="6">
        <v>69868</v>
      </c>
      <c r="F578" s="6">
        <v>68851</v>
      </c>
      <c r="G578" s="6">
        <v>68273</v>
      </c>
      <c r="H578" s="6">
        <v>68075</v>
      </c>
      <c r="I578" s="1" t="str">
        <f t="shared" si="16"/>
        <v xml:space="preserve"> California</v>
      </c>
      <c r="J578" s="1" t="str">
        <f t="shared" si="17"/>
        <v>Redondo Beach city</v>
      </c>
      <c r="K578" s="1">
        <f>IF(COUNTIF($I$5:I578,I578)=1,1,0)</f>
        <v>0</v>
      </c>
    </row>
    <row r="579" spans="1:11" x14ac:dyDescent="0.2">
      <c r="A579" s="9">
        <v>575</v>
      </c>
      <c r="B579" s="5" t="s">
        <v>574</v>
      </c>
      <c r="C579" s="6">
        <v>66232</v>
      </c>
      <c r="D579" s="6">
        <v>66126</v>
      </c>
      <c r="E579" s="6">
        <v>66322</v>
      </c>
      <c r="F579" s="6">
        <v>66394</v>
      </c>
      <c r="G579" s="6">
        <v>67074</v>
      </c>
      <c r="H579" s="6">
        <v>67675</v>
      </c>
      <c r="I579" s="1" t="str">
        <f t="shared" si="16"/>
        <v xml:space="preserve"> Michigan</v>
      </c>
      <c r="J579" s="1" t="str">
        <f t="shared" si="17"/>
        <v>Novi city</v>
      </c>
      <c r="K579" s="1">
        <f>IF(COUNTIF($I$5:I579,I579)=1,1,0)</f>
        <v>0</v>
      </c>
    </row>
    <row r="580" spans="1:11" x14ac:dyDescent="0.2">
      <c r="A580" s="9">
        <v>576</v>
      </c>
      <c r="B580" s="5" t="s">
        <v>575</v>
      </c>
      <c r="C580" s="6">
        <v>68585</v>
      </c>
      <c r="D580" s="6">
        <v>68356</v>
      </c>
      <c r="E580" s="6">
        <v>66799</v>
      </c>
      <c r="F580" s="6">
        <v>66506</v>
      </c>
      <c r="G580" s="6">
        <v>66794</v>
      </c>
      <c r="H580" s="6">
        <v>67658</v>
      </c>
      <c r="I580" s="1" t="str">
        <f t="shared" si="16"/>
        <v xml:space="preserve"> California</v>
      </c>
      <c r="J580" s="1" t="str">
        <f t="shared" si="17"/>
        <v>Palo Alto city</v>
      </c>
      <c r="K580" s="1">
        <f>IF(COUNTIF($I$5:I580,I580)=1,1,0)</f>
        <v>0</v>
      </c>
    </row>
    <row r="581" spans="1:11" x14ac:dyDescent="0.2">
      <c r="A581" s="9">
        <v>577</v>
      </c>
      <c r="B581" s="5" t="s">
        <v>576</v>
      </c>
      <c r="C581" s="6">
        <v>69082</v>
      </c>
      <c r="D581" s="6">
        <v>69006</v>
      </c>
      <c r="E581" s="6">
        <v>68538</v>
      </c>
      <c r="F581" s="6">
        <v>68048</v>
      </c>
      <c r="G581" s="6">
        <v>67672</v>
      </c>
      <c r="H581" s="6">
        <v>67555</v>
      </c>
      <c r="I581" s="1" t="str">
        <f t="shared" si="16"/>
        <v xml:space="preserve"> Indiana</v>
      </c>
      <c r="J581" s="1" t="str">
        <f t="shared" si="17"/>
        <v>Gary city</v>
      </c>
      <c r="K581" s="1">
        <f>IF(COUNTIF($I$5:I581,I581)=1,1,0)</f>
        <v>0</v>
      </c>
    </row>
    <row r="582" spans="1:11" x14ac:dyDescent="0.2">
      <c r="A582" s="9">
        <v>578</v>
      </c>
      <c r="B582" s="5" t="s">
        <v>577</v>
      </c>
      <c r="C582" s="6">
        <v>67309</v>
      </c>
      <c r="D582" s="6">
        <v>67266</v>
      </c>
      <c r="E582" s="6">
        <v>66895</v>
      </c>
      <c r="F582" s="6">
        <v>66530</v>
      </c>
      <c r="G582" s="6">
        <v>66856</v>
      </c>
      <c r="H582" s="6">
        <v>67477</v>
      </c>
      <c r="I582" s="1" t="str">
        <f t="shared" ref="I582:I645" si="18">_xlfn.TEXTAFTER(B582,",")</f>
        <v xml:space="preserve"> Iowa</v>
      </c>
      <c r="J582" s="1" t="str">
        <f t="shared" ref="J582:J645" si="19">_xlfn.TEXTBEFORE(B582,", ")</f>
        <v>Waterloo city</v>
      </c>
      <c r="K582" s="1">
        <f>IF(COUNTIF($I$5:I582,I582)=1,1,0)</f>
        <v>0</v>
      </c>
    </row>
    <row r="583" spans="1:11" x14ac:dyDescent="0.2">
      <c r="A583" s="9">
        <v>579</v>
      </c>
      <c r="B583" s="5" t="s">
        <v>578</v>
      </c>
      <c r="C583" s="6">
        <v>65811</v>
      </c>
      <c r="D583" s="6">
        <v>65966</v>
      </c>
      <c r="E583" s="6">
        <v>66225</v>
      </c>
      <c r="F583" s="6">
        <v>67378</v>
      </c>
      <c r="G583" s="6">
        <v>67366</v>
      </c>
      <c r="H583" s="6">
        <v>67275</v>
      </c>
      <c r="I583" s="1" t="str">
        <f t="shared" si="18"/>
        <v xml:space="preserve"> Georgia</v>
      </c>
      <c r="J583" s="1" t="str">
        <f t="shared" si="19"/>
        <v>Alpharetta city</v>
      </c>
      <c r="K583" s="1">
        <f>IF(COUNTIF($I$5:I583,I583)=1,1,0)</f>
        <v>0</v>
      </c>
    </row>
    <row r="584" spans="1:11" x14ac:dyDescent="0.2">
      <c r="A584" s="9">
        <v>580</v>
      </c>
      <c r="B584" s="5" t="s">
        <v>579</v>
      </c>
      <c r="C584" s="6">
        <v>66895</v>
      </c>
      <c r="D584" s="6">
        <v>66913</v>
      </c>
      <c r="E584" s="6">
        <v>66093</v>
      </c>
      <c r="F584" s="6">
        <v>66497</v>
      </c>
      <c r="G584" s="6">
        <v>66866</v>
      </c>
      <c r="H584" s="6">
        <v>67242</v>
      </c>
      <c r="I584" s="1" t="str">
        <f t="shared" si="18"/>
        <v xml:space="preserve"> Wisconsin</v>
      </c>
      <c r="J584" s="1" t="str">
        <f t="shared" si="19"/>
        <v>Oshkosh city</v>
      </c>
      <c r="K584" s="1">
        <f>IF(COUNTIF($I$5:I584,I584)=1,1,0)</f>
        <v>0</v>
      </c>
    </row>
    <row r="585" spans="1:11" x14ac:dyDescent="0.2">
      <c r="A585" s="9">
        <v>581</v>
      </c>
      <c r="B585" s="5" t="s">
        <v>580</v>
      </c>
      <c r="C585" s="6">
        <v>68862</v>
      </c>
      <c r="D585" s="6">
        <v>68745</v>
      </c>
      <c r="E585" s="6">
        <v>68729</v>
      </c>
      <c r="F585" s="6">
        <v>67658</v>
      </c>
      <c r="G585" s="6">
        <v>67574</v>
      </c>
      <c r="H585" s="6">
        <v>67240</v>
      </c>
      <c r="I585" s="1" t="str">
        <f t="shared" si="18"/>
        <v xml:space="preserve"> Minnesota</v>
      </c>
      <c r="J585" s="1" t="str">
        <f t="shared" si="19"/>
        <v>Eagan city</v>
      </c>
      <c r="K585" s="1">
        <f>IF(COUNTIF($I$5:I585,I585)=1,1,0)</f>
        <v>0</v>
      </c>
    </row>
    <row r="586" spans="1:11" x14ac:dyDescent="0.2">
      <c r="A586" s="9">
        <v>582</v>
      </c>
      <c r="B586" s="5" t="s">
        <v>581</v>
      </c>
      <c r="C586" s="6">
        <v>66861</v>
      </c>
      <c r="D586" s="6">
        <v>66903</v>
      </c>
      <c r="E586" s="6">
        <v>67142</v>
      </c>
      <c r="F586" s="6">
        <v>67024</v>
      </c>
      <c r="G586" s="6">
        <v>66687</v>
      </c>
      <c r="H586" s="6">
        <v>67125</v>
      </c>
      <c r="I586" s="1" t="str">
        <f t="shared" si="18"/>
        <v xml:space="preserve"> California</v>
      </c>
      <c r="J586" s="1" t="str">
        <f t="shared" si="19"/>
        <v>Davis city</v>
      </c>
      <c r="K586" s="1">
        <f>IF(COUNTIF($I$5:I586,I586)=1,1,0)</f>
        <v>0</v>
      </c>
    </row>
    <row r="587" spans="1:11" x14ac:dyDescent="0.2">
      <c r="A587" s="9">
        <v>583</v>
      </c>
      <c r="B587" s="5" t="s">
        <v>582</v>
      </c>
      <c r="C587" s="6">
        <v>61406</v>
      </c>
      <c r="D587" s="6">
        <v>61609</v>
      </c>
      <c r="E587" s="6">
        <v>61944</v>
      </c>
      <c r="F587" s="6">
        <v>63914</v>
      </c>
      <c r="G587" s="6">
        <v>65367</v>
      </c>
      <c r="H587" s="6">
        <v>67087</v>
      </c>
      <c r="I587" s="1" t="str">
        <f t="shared" si="18"/>
        <v xml:space="preserve"> North Carolina</v>
      </c>
      <c r="J587" s="1" t="str">
        <f t="shared" si="19"/>
        <v>Huntersville town</v>
      </c>
      <c r="K587" s="1">
        <f>IF(COUNTIF($I$5:I587,I587)=1,1,0)</f>
        <v>0</v>
      </c>
    </row>
    <row r="588" spans="1:11" x14ac:dyDescent="0.2">
      <c r="A588" s="9">
        <v>584</v>
      </c>
      <c r="B588" s="5" t="s">
        <v>583</v>
      </c>
      <c r="C588" s="6">
        <v>61077</v>
      </c>
      <c r="D588" s="6">
        <v>61098</v>
      </c>
      <c r="E588" s="6">
        <v>61072</v>
      </c>
      <c r="F588" s="6">
        <v>63430</v>
      </c>
      <c r="G588" s="6">
        <v>66036</v>
      </c>
      <c r="H588" s="6">
        <v>66919</v>
      </c>
      <c r="I588" s="1" t="str">
        <f t="shared" si="18"/>
        <v xml:space="preserve"> Florida</v>
      </c>
      <c r="J588" s="1" t="str">
        <f t="shared" si="19"/>
        <v>Sanford city</v>
      </c>
      <c r="K588" s="1">
        <f>IF(COUNTIF($I$5:I588,I588)=1,1,0)</f>
        <v>0</v>
      </c>
    </row>
    <row r="589" spans="1:11" x14ac:dyDescent="0.2">
      <c r="A589" s="9">
        <v>585</v>
      </c>
      <c r="B589" s="5" t="s">
        <v>584</v>
      </c>
      <c r="C589" s="6">
        <v>68634</v>
      </c>
      <c r="D589" s="6">
        <v>68138</v>
      </c>
      <c r="E589" s="6">
        <v>65965</v>
      </c>
      <c r="F589" s="6">
        <v>65314</v>
      </c>
      <c r="G589" s="6">
        <v>65915</v>
      </c>
      <c r="H589" s="6">
        <v>66918</v>
      </c>
      <c r="I589" s="1" t="str">
        <f t="shared" si="18"/>
        <v xml:space="preserve"> New Jersey</v>
      </c>
      <c r="J589" s="1" t="str">
        <f t="shared" si="19"/>
        <v>Union City city</v>
      </c>
      <c r="K589" s="1">
        <f>IF(COUNTIF($I$5:I589,I589)=1,1,0)</f>
        <v>0</v>
      </c>
    </row>
    <row r="590" spans="1:11" x14ac:dyDescent="0.2">
      <c r="A590" s="9">
        <v>586</v>
      </c>
      <c r="B590" s="5" t="s">
        <v>585</v>
      </c>
      <c r="C590" s="6">
        <v>65179</v>
      </c>
      <c r="D590" s="6">
        <v>65490</v>
      </c>
      <c r="E590" s="6">
        <v>66508</v>
      </c>
      <c r="F590" s="6">
        <v>65873</v>
      </c>
      <c r="G590" s="6">
        <v>65927</v>
      </c>
      <c r="H590" s="6">
        <v>66819</v>
      </c>
      <c r="I590" s="1" t="str">
        <f t="shared" si="18"/>
        <v xml:space="preserve"> Texas</v>
      </c>
      <c r="J590" s="1" t="str">
        <f t="shared" si="19"/>
        <v>Pflugerville city</v>
      </c>
      <c r="K590" s="1">
        <f>IF(COUNTIF($I$5:I590,I590)=1,1,0)</f>
        <v>0</v>
      </c>
    </row>
    <row r="591" spans="1:11" x14ac:dyDescent="0.2">
      <c r="A591" s="9">
        <v>587</v>
      </c>
      <c r="B591" s="5" t="s">
        <v>586</v>
      </c>
      <c r="C591" s="6">
        <v>69653</v>
      </c>
      <c r="D591" s="6">
        <v>69103</v>
      </c>
      <c r="E591" s="6">
        <v>66289</v>
      </c>
      <c r="F591" s="6">
        <v>67148</v>
      </c>
      <c r="G591" s="6">
        <v>66871</v>
      </c>
      <c r="H591" s="6">
        <v>66705</v>
      </c>
      <c r="I591" s="1" t="str">
        <f t="shared" si="18"/>
        <v xml:space="preserve"> Georgia</v>
      </c>
      <c r="J591" s="1" t="str">
        <f t="shared" si="19"/>
        <v>Albany city</v>
      </c>
      <c r="K591" s="1">
        <f>IF(COUNTIF($I$5:I591,I591)=1,1,0)</f>
        <v>0</v>
      </c>
    </row>
    <row r="592" spans="1:11" x14ac:dyDescent="0.2">
      <c r="A592" s="9">
        <v>588</v>
      </c>
      <c r="B592" s="5" t="s">
        <v>587</v>
      </c>
      <c r="C592" s="6">
        <v>66274</v>
      </c>
      <c r="D592" s="6">
        <v>66086</v>
      </c>
      <c r="E592" s="6">
        <v>65349</v>
      </c>
      <c r="F592" s="6">
        <v>65472</v>
      </c>
      <c r="G592" s="6">
        <v>65840</v>
      </c>
      <c r="H592" s="6">
        <v>66693</v>
      </c>
      <c r="I592" s="1" t="str">
        <f t="shared" si="18"/>
        <v xml:space="preserve"> Massachusetts</v>
      </c>
      <c r="J592" s="1" t="str">
        <f t="shared" si="19"/>
        <v>Malden city</v>
      </c>
      <c r="K592" s="1">
        <f>IF(COUNTIF($I$5:I592,I592)=1,1,0)</f>
        <v>0</v>
      </c>
    </row>
    <row r="593" spans="1:11" x14ac:dyDescent="0.2">
      <c r="A593" s="9">
        <v>589</v>
      </c>
      <c r="B593" s="5" t="s">
        <v>588</v>
      </c>
      <c r="C593" s="6">
        <v>62621</v>
      </c>
      <c r="D593" s="6">
        <v>62734</v>
      </c>
      <c r="E593" s="6">
        <v>63348</v>
      </c>
      <c r="F593" s="6">
        <v>65032</v>
      </c>
      <c r="G593" s="6">
        <v>66264</v>
      </c>
      <c r="H593" s="6">
        <v>66556</v>
      </c>
      <c r="I593" s="1" t="str">
        <f t="shared" si="18"/>
        <v xml:space="preserve"> Florida</v>
      </c>
      <c r="J593" s="1" t="str">
        <f t="shared" si="19"/>
        <v>Port Orange city</v>
      </c>
      <c r="K593" s="1">
        <f>IF(COUNTIF($I$5:I593,I593)=1,1,0)</f>
        <v>0</v>
      </c>
    </row>
    <row r="594" spans="1:11" x14ac:dyDescent="0.2">
      <c r="A594" s="9">
        <v>590</v>
      </c>
      <c r="B594" s="5" t="s">
        <v>589</v>
      </c>
      <c r="C594" s="6">
        <v>68319</v>
      </c>
      <c r="D594" s="6">
        <v>68232</v>
      </c>
      <c r="E594" s="6">
        <v>67566</v>
      </c>
      <c r="F594" s="6">
        <v>67018</v>
      </c>
      <c r="G594" s="6">
        <v>66539</v>
      </c>
      <c r="H594" s="6">
        <v>66489</v>
      </c>
      <c r="I594" s="1" t="str">
        <f t="shared" si="18"/>
        <v xml:space="preserve"> California</v>
      </c>
      <c r="J594" s="1" t="str">
        <f t="shared" si="19"/>
        <v>Yorba Linda city</v>
      </c>
      <c r="K594" s="1">
        <f>IF(COUNTIF($I$5:I594,I594)=1,1,0)</f>
        <v>0</v>
      </c>
    </row>
    <row r="595" spans="1:11" x14ac:dyDescent="0.2">
      <c r="A595" s="9">
        <v>591</v>
      </c>
      <c r="B595" s="5" t="s">
        <v>590</v>
      </c>
      <c r="C595" s="6">
        <v>67458</v>
      </c>
      <c r="D595" s="6">
        <v>67449</v>
      </c>
      <c r="E595" s="6">
        <v>66573</v>
      </c>
      <c r="F595" s="6">
        <v>65964</v>
      </c>
      <c r="G595" s="6">
        <v>65857</v>
      </c>
      <c r="H595" s="6">
        <v>66474</v>
      </c>
      <c r="I595" s="1" t="str">
        <f t="shared" si="18"/>
        <v xml:space="preserve"> Washington</v>
      </c>
      <c r="J595" s="1" t="str">
        <f t="shared" si="19"/>
        <v>Sammamish city</v>
      </c>
      <c r="K595" s="1">
        <f>IF(COUNTIF($I$5:I595,I595)=1,1,0)</f>
        <v>0</v>
      </c>
    </row>
    <row r="596" spans="1:11" x14ac:dyDescent="0.2">
      <c r="A596" s="9">
        <v>592</v>
      </c>
      <c r="B596" s="5" t="s">
        <v>591</v>
      </c>
      <c r="C596" s="6">
        <v>65633</v>
      </c>
      <c r="D596" s="6">
        <v>65651</v>
      </c>
      <c r="E596" s="6">
        <v>66013</v>
      </c>
      <c r="F596" s="6">
        <v>65964</v>
      </c>
      <c r="G596" s="6">
        <v>66130</v>
      </c>
      <c r="H596" s="6">
        <v>66428</v>
      </c>
      <c r="I596" s="1" t="str">
        <f t="shared" si="18"/>
        <v xml:space="preserve"> Wisconsin</v>
      </c>
      <c r="J596" s="1" t="str">
        <f t="shared" si="19"/>
        <v>Janesville city</v>
      </c>
      <c r="K596" s="1">
        <f>IF(COUNTIF($I$5:I596,I596)=1,1,0)</f>
        <v>0</v>
      </c>
    </row>
    <row r="597" spans="1:11" x14ac:dyDescent="0.2">
      <c r="A597" s="9">
        <v>593</v>
      </c>
      <c r="B597" s="5" t="s">
        <v>592</v>
      </c>
      <c r="C597" s="6">
        <v>64291</v>
      </c>
      <c r="D597" s="6">
        <v>64454</v>
      </c>
      <c r="E597" s="6">
        <v>64833</v>
      </c>
      <c r="F597" s="6">
        <v>65020</v>
      </c>
      <c r="G597" s="6">
        <v>65452</v>
      </c>
      <c r="H597" s="6">
        <v>66286</v>
      </c>
      <c r="I597" s="1" t="str">
        <f t="shared" si="18"/>
        <v xml:space="preserve"> California</v>
      </c>
      <c r="J597" s="1" t="str">
        <f t="shared" si="19"/>
        <v>Brentwood city</v>
      </c>
      <c r="K597" s="1">
        <f>IF(COUNTIF($I$5:I597,I597)=1,1,0)</f>
        <v>0</v>
      </c>
    </row>
    <row r="598" spans="1:11" x14ac:dyDescent="0.2">
      <c r="A598" s="9">
        <v>594</v>
      </c>
      <c r="B598" s="5" t="s">
        <v>593</v>
      </c>
      <c r="C598" s="6">
        <v>58609</v>
      </c>
      <c r="D598" s="6">
        <v>58820</v>
      </c>
      <c r="E598" s="6">
        <v>59250</v>
      </c>
      <c r="F598" s="6">
        <v>60349</v>
      </c>
      <c r="G598" s="6">
        <v>62527</v>
      </c>
      <c r="H598" s="6">
        <v>66251</v>
      </c>
      <c r="I598" s="1" t="str">
        <f t="shared" si="18"/>
        <v xml:space="preserve"> Washington</v>
      </c>
      <c r="J598" s="1" t="str">
        <f t="shared" si="19"/>
        <v>Shoreline city</v>
      </c>
      <c r="K598" s="1">
        <f>IF(COUNTIF($I$5:I598,I598)=1,1,0)</f>
        <v>0</v>
      </c>
    </row>
    <row r="599" spans="1:11" x14ac:dyDescent="0.2">
      <c r="A599" s="9">
        <v>595</v>
      </c>
      <c r="B599" s="5" t="s">
        <v>594</v>
      </c>
      <c r="C599" s="6">
        <v>70145</v>
      </c>
      <c r="D599" s="6">
        <v>69933</v>
      </c>
      <c r="E599" s="6">
        <v>68118</v>
      </c>
      <c r="F599" s="6">
        <v>66753</v>
      </c>
      <c r="G599" s="6">
        <v>66212</v>
      </c>
      <c r="H599" s="6">
        <v>66196</v>
      </c>
      <c r="I599" s="1" t="str">
        <f t="shared" si="18"/>
        <v xml:space="preserve"> California</v>
      </c>
      <c r="J599" s="1" t="str">
        <f t="shared" si="19"/>
        <v>Union City city</v>
      </c>
      <c r="K599" s="1">
        <f>IF(COUNTIF($I$5:I599,I599)=1,1,0)</f>
        <v>0</v>
      </c>
    </row>
    <row r="600" spans="1:11" x14ac:dyDescent="0.2">
      <c r="A600" s="9">
        <v>596</v>
      </c>
      <c r="B600" s="5" t="s">
        <v>595</v>
      </c>
      <c r="C600" s="6">
        <v>65535</v>
      </c>
      <c r="D600" s="6">
        <v>65536</v>
      </c>
      <c r="E600" s="6">
        <v>65218</v>
      </c>
      <c r="F600" s="6">
        <v>65438</v>
      </c>
      <c r="G600" s="6">
        <v>65920</v>
      </c>
      <c r="H600" s="6">
        <v>66020</v>
      </c>
      <c r="I600" s="1" t="str">
        <f t="shared" si="18"/>
        <v xml:space="preserve"> Texas</v>
      </c>
      <c r="J600" s="1" t="str">
        <f t="shared" si="19"/>
        <v>Victoria city</v>
      </c>
      <c r="K600" s="1">
        <f>IF(COUNTIF($I$5:I600,I600)=1,1,0)</f>
        <v>0</v>
      </c>
    </row>
    <row r="601" spans="1:11" x14ac:dyDescent="0.2">
      <c r="A601" s="9">
        <v>597</v>
      </c>
      <c r="B601" s="5" t="s">
        <v>596</v>
      </c>
      <c r="C601" s="6">
        <v>67890</v>
      </c>
      <c r="D601" s="6">
        <v>67670</v>
      </c>
      <c r="E601" s="6">
        <v>66438</v>
      </c>
      <c r="F601" s="6">
        <v>65572</v>
      </c>
      <c r="G601" s="6">
        <v>65385</v>
      </c>
      <c r="H601" s="6">
        <v>65951</v>
      </c>
      <c r="I601" s="1" t="str">
        <f t="shared" si="18"/>
        <v xml:space="preserve"> Illinois</v>
      </c>
      <c r="J601" s="1" t="str">
        <f t="shared" si="19"/>
        <v>Palatine village</v>
      </c>
      <c r="K601" s="1">
        <f>IF(COUNTIF($I$5:I601,I601)=1,1,0)</f>
        <v>0</v>
      </c>
    </row>
    <row r="602" spans="1:11" x14ac:dyDescent="0.2">
      <c r="A602" s="9">
        <v>598</v>
      </c>
      <c r="B602" s="5" t="s">
        <v>597</v>
      </c>
      <c r="C602" s="6">
        <v>67824</v>
      </c>
      <c r="D602" s="6">
        <v>67690</v>
      </c>
      <c r="E602" s="6">
        <v>66467</v>
      </c>
      <c r="F602" s="6">
        <v>65590</v>
      </c>
      <c r="G602" s="6">
        <v>65460</v>
      </c>
      <c r="H602" s="6">
        <v>65850</v>
      </c>
      <c r="I602" s="1" t="str">
        <f t="shared" si="18"/>
        <v xml:space="preserve"> Illinois</v>
      </c>
      <c r="J602" s="1" t="str">
        <f t="shared" si="19"/>
        <v>Skokie village</v>
      </c>
      <c r="K602" s="1">
        <f>IF(COUNTIF($I$5:I602,I602)=1,1,0)</f>
        <v>0</v>
      </c>
    </row>
    <row r="603" spans="1:11" x14ac:dyDescent="0.2">
      <c r="A603" s="9">
        <v>599</v>
      </c>
      <c r="B603" s="5" t="s">
        <v>598</v>
      </c>
      <c r="C603" s="6">
        <v>65206</v>
      </c>
      <c r="D603" s="6">
        <v>64238</v>
      </c>
      <c r="E603" s="6">
        <v>64576</v>
      </c>
      <c r="F603" s="6">
        <v>64719</v>
      </c>
      <c r="G603" s="6">
        <v>65165</v>
      </c>
      <c r="H603" s="6">
        <v>65849</v>
      </c>
      <c r="I603" s="1" t="str">
        <f t="shared" si="18"/>
        <v xml:space="preserve"> Massachusetts</v>
      </c>
      <c r="J603" s="1" t="str">
        <f t="shared" si="19"/>
        <v>Waltham city</v>
      </c>
      <c r="K603" s="1">
        <f>IF(COUNTIF($I$5:I603,I603)=1,1,0)</f>
        <v>0</v>
      </c>
    </row>
    <row r="604" spans="1:11" x14ac:dyDescent="0.2">
      <c r="A604" s="9">
        <v>600</v>
      </c>
      <c r="B604" s="5" t="s">
        <v>599</v>
      </c>
      <c r="C604" s="6">
        <v>45683</v>
      </c>
      <c r="D604" s="6">
        <v>46433</v>
      </c>
      <c r="E604" s="6">
        <v>51638</v>
      </c>
      <c r="F604" s="6">
        <v>57366</v>
      </c>
      <c r="G604" s="6">
        <v>62871</v>
      </c>
      <c r="H604" s="6">
        <v>65833</v>
      </c>
      <c r="I604" s="1" t="str">
        <f t="shared" si="18"/>
        <v xml:space="preserve"> Texas</v>
      </c>
      <c r="J604" s="1" t="str">
        <f t="shared" si="19"/>
        <v>Kyle city</v>
      </c>
      <c r="K604" s="1">
        <f>IF(COUNTIF($I$5:I604,I604)=1,1,0)</f>
        <v>0</v>
      </c>
    </row>
    <row r="605" spans="1:11" x14ac:dyDescent="0.2">
      <c r="A605" s="9">
        <v>601</v>
      </c>
      <c r="B605" s="5" t="s">
        <v>600</v>
      </c>
      <c r="C605" s="6">
        <v>65218</v>
      </c>
      <c r="D605" s="6">
        <v>65232</v>
      </c>
      <c r="E605" s="6">
        <v>65372</v>
      </c>
      <c r="F605" s="6">
        <v>65354</v>
      </c>
      <c r="G605" s="6">
        <v>65413</v>
      </c>
      <c r="H605" s="6">
        <v>65751</v>
      </c>
      <c r="I605" s="1" t="str">
        <f t="shared" si="18"/>
        <v xml:space="preserve"> Ohio</v>
      </c>
      <c r="J605" s="1" t="str">
        <f t="shared" si="19"/>
        <v>Lorain city</v>
      </c>
      <c r="K605" s="1">
        <f>IF(COUNTIF($I$5:I605,I605)=1,1,0)</f>
        <v>0</v>
      </c>
    </row>
    <row r="606" spans="1:11" x14ac:dyDescent="0.2">
      <c r="A606" s="9">
        <v>602</v>
      </c>
      <c r="B606" s="5" t="s">
        <v>601</v>
      </c>
      <c r="C606" s="6">
        <v>65187</v>
      </c>
      <c r="D606" s="6">
        <v>65283</v>
      </c>
      <c r="E606" s="6">
        <v>65151</v>
      </c>
      <c r="F606" s="6">
        <v>64668</v>
      </c>
      <c r="G606" s="6">
        <v>65287</v>
      </c>
      <c r="H606" s="6">
        <v>65704</v>
      </c>
      <c r="I606" s="1" t="str">
        <f t="shared" si="18"/>
        <v xml:space="preserve"> Wyoming</v>
      </c>
      <c r="J606" s="1" t="str">
        <f t="shared" si="19"/>
        <v>Cheyenne city</v>
      </c>
      <c r="K606" s="1">
        <f>IF(COUNTIF($I$5:I606,I606)=1,1,0)</f>
        <v>1</v>
      </c>
    </row>
    <row r="607" spans="1:11" x14ac:dyDescent="0.2">
      <c r="A607" s="9">
        <v>603</v>
      </c>
      <c r="B607" s="5" t="s">
        <v>602</v>
      </c>
      <c r="C607" s="6">
        <v>58495</v>
      </c>
      <c r="D607" s="6">
        <v>58853</v>
      </c>
      <c r="E607" s="6">
        <v>60456</v>
      </c>
      <c r="F607" s="6">
        <v>61279</v>
      </c>
      <c r="G607" s="6">
        <v>62918</v>
      </c>
      <c r="H607" s="6">
        <v>65473</v>
      </c>
      <c r="I607" s="1" t="str">
        <f t="shared" si="18"/>
        <v xml:space="preserve"> Colorado</v>
      </c>
      <c r="J607" s="1" t="str">
        <f t="shared" si="19"/>
        <v>Parker town</v>
      </c>
      <c r="K607" s="1">
        <f>IF(COUNTIF($I$5:I607,I607)=1,1,0)</f>
        <v>0</v>
      </c>
    </row>
    <row r="608" spans="1:11" x14ac:dyDescent="0.2">
      <c r="A608" s="9">
        <v>604</v>
      </c>
      <c r="B608" s="5" t="s">
        <v>603</v>
      </c>
      <c r="C608" s="6">
        <v>65202</v>
      </c>
      <c r="D608" s="6">
        <v>65100</v>
      </c>
      <c r="E608" s="6">
        <v>65195</v>
      </c>
      <c r="F608" s="6">
        <v>65163</v>
      </c>
      <c r="G608" s="6">
        <v>65145</v>
      </c>
      <c r="H608" s="6">
        <v>65320</v>
      </c>
      <c r="I608" s="1" t="str">
        <f t="shared" si="18"/>
        <v xml:space="preserve"> Indiana</v>
      </c>
      <c r="J608" s="1" t="str">
        <f t="shared" si="19"/>
        <v>Muncie city</v>
      </c>
      <c r="K608" s="1">
        <f>IF(COUNTIF($I$5:I608,I608)=1,1,0)</f>
        <v>0</v>
      </c>
    </row>
    <row r="609" spans="1:11" x14ac:dyDescent="0.2">
      <c r="A609" s="9">
        <v>605</v>
      </c>
      <c r="B609" s="5" t="s">
        <v>604</v>
      </c>
      <c r="C609" s="6">
        <v>64324</v>
      </c>
      <c r="D609" s="6">
        <v>64519</v>
      </c>
      <c r="E609" s="6">
        <v>64036</v>
      </c>
      <c r="F609" s="6">
        <v>64039</v>
      </c>
      <c r="G609" s="6">
        <v>64928</v>
      </c>
      <c r="H609" s="6">
        <v>64864</v>
      </c>
      <c r="I609" s="1" t="str">
        <f t="shared" si="18"/>
        <v xml:space="preserve"> Minnesota</v>
      </c>
      <c r="J609" s="1" t="str">
        <f t="shared" si="19"/>
        <v>Burnsville city</v>
      </c>
      <c r="K609" s="1">
        <f>IF(COUNTIF($I$5:I609,I609)=1,1,0)</f>
        <v>0</v>
      </c>
    </row>
    <row r="610" spans="1:11" x14ac:dyDescent="0.2">
      <c r="A610" s="9">
        <v>606</v>
      </c>
      <c r="B610" s="5" t="s">
        <v>605</v>
      </c>
      <c r="C610" s="6">
        <v>65042</v>
      </c>
      <c r="D610" s="6">
        <v>65154</v>
      </c>
      <c r="E610" s="6">
        <v>64731</v>
      </c>
      <c r="F610" s="6">
        <v>63906</v>
      </c>
      <c r="G610" s="6">
        <v>64114</v>
      </c>
      <c r="H610" s="6">
        <v>64777</v>
      </c>
      <c r="I610" s="1" t="str">
        <f t="shared" si="18"/>
        <v xml:space="preserve"> Nebraska</v>
      </c>
      <c r="J610" s="1" t="str">
        <f t="shared" si="19"/>
        <v>Bellevue city</v>
      </c>
      <c r="K610" s="1">
        <f>IF(COUNTIF($I$5:I610,I610)=1,1,0)</f>
        <v>0</v>
      </c>
    </row>
    <row r="611" spans="1:11" x14ac:dyDescent="0.2">
      <c r="A611" s="9">
        <v>607</v>
      </c>
      <c r="B611" s="5" t="s">
        <v>606</v>
      </c>
      <c r="C611" s="6">
        <v>66095</v>
      </c>
      <c r="D611" s="6">
        <v>65903</v>
      </c>
      <c r="E611" s="6">
        <v>63822</v>
      </c>
      <c r="F611" s="6">
        <v>63368</v>
      </c>
      <c r="G611" s="6">
        <v>63738</v>
      </c>
      <c r="H611" s="6">
        <v>64660</v>
      </c>
      <c r="I611" s="1" t="str">
        <f t="shared" si="18"/>
        <v xml:space="preserve"> California</v>
      </c>
      <c r="J611" s="1" t="str">
        <f t="shared" si="19"/>
        <v>South San Francisco city</v>
      </c>
      <c r="K611" s="1">
        <f>IF(COUNTIF($I$5:I611,I611)=1,1,0)</f>
        <v>0</v>
      </c>
    </row>
    <row r="612" spans="1:11" x14ac:dyDescent="0.2">
      <c r="A612" s="9">
        <v>608</v>
      </c>
      <c r="B612" s="5" t="s">
        <v>607</v>
      </c>
      <c r="C612" s="6">
        <v>66457</v>
      </c>
      <c r="D612" s="6">
        <v>66290</v>
      </c>
      <c r="E612" s="6">
        <v>65424</v>
      </c>
      <c r="F612" s="6">
        <v>64248</v>
      </c>
      <c r="G612" s="6">
        <v>63905</v>
      </c>
      <c r="H612" s="6">
        <v>64650</v>
      </c>
      <c r="I612" s="1" t="str">
        <f t="shared" si="18"/>
        <v xml:space="preserve"> Louisiana</v>
      </c>
      <c r="J612" s="1" t="str">
        <f t="shared" si="19"/>
        <v>Kenner city</v>
      </c>
      <c r="K612" s="1">
        <f>IF(COUNTIF($I$5:I612,I612)=1,1,0)</f>
        <v>0</v>
      </c>
    </row>
    <row r="613" spans="1:11" x14ac:dyDescent="0.2">
      <c r="A613" s="9">
        <v>609</v>
      </c>
      <c r="B613" s="5" t="s">
        <v>608</v>
      </c>
      <c r="C613" s="6">
        <v>64609</v>
      </c>
      <c r="D613" s="6">
        <v>64674</v>
      </c>
      <c r="E613" s="6">
        <v>64168</v>
      </c>
      <c r="F613" s="6">
        <v>64674</v>
      </c>
      <c r="G613" s="6">
        <v>64655</v>
      </c>
      <c r="H613" s="6">
        <v>64498</v>
      </c>
      <c r="I613" s="1" t="str">
        <f t="shared" si="18"/>
        <v xml:space="preserve"> Arkansas</v>
      </c>
      <c r="J613" s="1" t="str">
        <f t="shared" si="19"/>
        <v>North Little Rock city</v>
      </c>
      <c r="K613" s="1">
        <f>IF(COUNTIF($I$5:I613,I613)=1,1,0)</f>
        <v>0</v>
      </c>
    </row>
    <row r="614" spans="1:11" x14ac:dyDescent="0.2">
      <c r="A614" s="9">
        <v>610</v>
      </c>
      <c r="B614" s="5" t="s">
        <v>609</v>
      </c>
      <c r="C614" s="6">
        <v>60575</v>
      </c>
      <c r="D614" s="6">
        <v>60892</v>
      </c>
      <c r="E614" s="6">
        <v>61961</v>
      </c>
      <c r="F614" s="6">
        <v>62829</v>
      </c>
      <c r="G614" s="6">
        <v>63685</v>
      </c>
      <c r="H614" s="6">
        <v>64372</v>
      </c>
      <c r="I614" s="1" t="str">
        <f t="shared" si="18"/>
        <v xml:space="preserve"> Washington</v>
      </c>
      <c r="J614" s="1" t="str">
        <f t="shared" si="19"/>
        <v>Richland city</v>
      </c>
      <c r="K614" s="1">
        <f>IF(COUNTIF($I$5:I614,I614)=1,1,0)</f>
        <v>0</v>
      </c>
    </row>
    <row r="615" spans="1:11" x14ac:dyDescent="0.2">
      <c r="A615" s="9">
        <v>611</v>
      </c>
      <c r="B615" s="5" t="s">
        <v>610</v>
      </c>
      <c r="C615" s="6">
        <v>63892</v>
      </c>
      <c r="D615" s="6">
        <v>63676</v>
      </c>
      <c r="E615" s="6">
        <v>64222</v>
      </c>
      <c r="F615" s="6">
        <v>63307</v>
      </c>
      <c r="G615" s="6">
        <v>62901</v>
      </c>
      <c r="H615" s="6">
        <v>64217</v>
      </c>
      <c r="I615" s="1" t="str">
        <f t="shared" si="18"/>
        <v xml:space="preserve"> Utah</v>
      </c>
      <c r="J615" s="1" t="str">
        <f t="shared" si="19"/>
        <v>Millcreek city</v>
      </c>
      <c r="K615" s="1">
        <f>IF(COUNTIF($I$5:I615,I615)=1,1,0)</f>
        <v>0</v>
      </c>
    </row>
    <row r="616" spans="1:11" x14ac:dyDescent="0.2">
      <c r="A616" s="9">
        <v>612</v>
      </c>
      <c r="B616" s="5" t="s">
        <v>611</v>
      </c>
      <c r="C616" s="6">
        <v>64346</v>
      </c>
      <c r="D616" s="6">
        <v>64538</v>
      </c>
      <c r="E616" s="6">
        <v>64441</v>
      </c>
      <c r="F616" s="6">
        <v>63827</v>
      </c>
      <c r="G616" s="6">
        <v>63631</v>
      </c>
      <c r="H616" s="6">
        <v>64185</v>
      </c>
      <c r="I616" s="1" t="str">
        <f t="shared" si="18"/>
        <v xml:space="preserve"> California</v>
      </c>
      <c r="J616" s="1" t="str">
        <f t="shared" si="19"/>
        <v>Laguna Niguel city</v>
      </c>
      <c r="K616" s="1">
        <f>IF(COUNTIF($I$5:I616,I616)=1,1,0)</f>
        <v>0</v>
      </c>
    </row>
    <row r="617" spans="1:11" x14ac:dyDescent="0.2">
      <c r="A617" s="9">
        <v>613</v>
      </c>
      <c r="B617" s="5" t="s">
        <v>612</v>
      </c>
      <c r="C617" s="6">
        <v>56976</v>
      </c>
      <c r="D617" s="6">
        <v>57310</v>
      </c>
      <c r="E617" s="6">
        <v>58337</v>
      </c>
      <c r="F617" s="6">
        <v>59866</v>
      </c>
      <c r="G617" s="6">
        <v>61022</v>
      </c>
      <c r="H617" s="6">
        <v>64029</v>
      </c>
      <c r="I617" s="1" t="str">
        <f t="shared" si="18"/>
        <v xml:space="preserve"> Alabama</v>
      </c>
      <c r="J617" s="1" t="str">
        <f t="shared" si="19"/>
        <v>Madison city</v>
      </c>
      <c r="K617" s="1">
        <f>IF(COUNTIF($I$5:I617,I617)=1,1,0)</f>
        <v>0</v>
      </c>
    </row>
    <row r="618" spans="1:11" x14ac:dyDescent="0.2">
      <c r="A618" s="9">
        <v>614</v>
      </c>
      <c r="B618" s="5" t="s">
        <v>613</v>
      </c>
      <c r="C618" s="6">
        <v>62264</v>
      </c>
      <c r="D618" s="6">
        <v>57017</v>
      </c>
      <c r="E618" s="6">
        <v>61635</v>
      </c>
      <c r="F618" s="6">
        <v>62230</v>
      </c>
      <c r="G618" s="6">
        <v>63098</v>
      </c>
      <c r="H618" s="6">
        <v>64028</v>
      </c>
      <c r="I618" s="1" t="str">
        <f t="shared" si="18"/>
        <v xml:space="preserve"> North Carolina</v>
      </c>
      <c r="J618" s="1" t="str">
        <f t="shared" si="19"/>
        <v>Chapel Hill town</v>
      </c>
      <c r="K618" s="1">
        <f>IF(COUNTIF($I$5:I618,I618)=1,1,0)</f>
        <v>0</v>
      </c>
    </row>
    <row r="619" spans="1:11" x14ac:dyDescent="0.2">
      <c r="A619" s="9">
        <v>615</v>
      </c>
      <c r="B619" s="5" t="s">
        <v>614</v>
      </c>
      <c r="C619" s="6">
        <v>63393</v>
      </c>
      <c r="D619" s="6">
        <v>63419</v>
      </c>
      <c r="E619" s="6">
        <v>63159</v>
      </c>
      <c r="F619" s="6">
        <v>63176</v>
      </c>
      <c r="G619" s="6">
        <v>63516</v>
      </c>
      <c r="H619" s="6">
        <v>63953</v>
      </c>
      <c r="I619" s="1" t="str">
        <f t="shared" si="18"/>
        <v xml:space="preserve"> Ohio</v>
      </c>
      <c r="J619" s="1" t="str">
        <f t="shared" si="19"/>
        <v>Hamilton city</v>
      </c>
      <c r="K619" s="1">
        <f>IF(COUNTIF($I$5:I619,I619)=1,1,0)</f>
        <v>0</v>
      </c>
    </row>
    <row r="620" spans="1:11" x14ac:dyDescent="0.2">
      <c r="A620" s="9">
        <v>616</v>
      </c>
      <c r="B620" s="5" t="s">
        <v>615</v>
      </c>
      <c r="C620" s="6">
        <v>61786</v>
      </c>
      <c r="D620" s="6">
        <v>62119</v>
      </c>
      <c r="E620" s="6">
        <v>62446</v>
      </c>
      <c r="F620" s="6">
        <v>63064</v>
      </c>
      <c r="G620" s="6">
        <v>63755</v>
      </c>
      <c r="H620" s="6">
        <v>63947</v>
      </c>
      <c r="I620" s="1" t="str">
        <f t="shared" si="18"/>
        <v xml:space="preserve"> Tennessee</v>
      </c>
      <c r="J620" s="1" t="str">
        <f t="shared" si="19"/>
        <v>Hendersonville city</v>
      </c>
      <c r="K620" s="1">
        <f>IF(COUNTIF($I$5:I620,I620)=1,1,0)</f>
        <v>0</v>
      </c>
    </row>
    <row r="621" spans="1:11" x14ac:dyDescent="0.2">
      <c r="A621" s="9">
        <v>617</v>
      </c>
      <c r="B621" s="5" t="s">
        <v>616</v>
      </c>
      <c r="C621" s="6">
        <v>62808</v>
      </c>
      <c r="D621" s="6">
        <v>63057</v>
      </c>
      <c r="E621" s="6">
        <v>63087</v>
      </c>
      <c r="F621" s="6">
        <v>63315</v>
      </c>
      <c r="G621" s="6">
        <v>63637</v>
      </c>
      <c r="H621" s="6">
        <v>63845</v>
      </c>
      <c r="I621" s="1" t="str">
        <f t="shared" si="18"/>
        <v xml:space="preserve"> Oklahoma</v>
      </c>
      <c r="J621" s="1" t="str">
        <f t="shared" si="19"/>
        <v>Moore city</v>
      </c>
      <c r="K621" s="1">
        <f>IF(COUNTIF($I$5:I621,I621)=1,1,0)</f>
        <v>0</v>
      </c>
    </row>
    <row r="622" spans="1:11" x14ac:dyDescent="0.2">
      <c r="A622" s="9">
        <v>618</v>
      </c>
      <c r="B622" s="5" t="s">
        <v>617</v>
      </c>
      <c r="C622" s="6">
        <v>63636</v>
      </c>
      <c r="D622" s="6">
        <v>63601</v>
      </c>
      <c r="E622" s="6">
        <v>63509</v>
      </c>
      <c r="F622" s="6">
        <v>62909</v>
      </c>
      <c r="G622" s="6">
        <v>63501</v>
      </c>
      <c r="H622" s="6">
        <v>63807</v>
      </c>
      <c r="I622" s="1" t="str">
        <f t="shared" si="18"/>
        <v xml:space="preserve"> Minnesota</v>
      </c>
      <c r="J622" s="1" t="str">
        <f t="shared" si="19"/>
        <v>Coon Rapids city</v>
      </c>
      <c r="K622" s="1">
        <f>IF(COUNTIF($I$5:I622,I622)=1,1,0)</f>
        <v>0</v>
      </c>
    </row>
    <row r="623" spans="1:11" x14ac:dyDescent="0.2">
      <c r="A623" s="9">
        <v>619</v>
      </c>
      <c r="B623" s="5" t="s">
        <v>618</v>
      </c>
      <c r="C623" s="6">
        <v>65288</v>
      </c>
      <c r="D623" s="6">
        <v>65173</v>
      </c>
      <c r="E623" s="6">
        <v>64580</v>
      </c>
      <c r="F623" s="6">
        <v>64044</v>
      </c>
      <c r="G623" s="6">
        <v>63676</v>
      </c>
      <c r="H623" s="6">
        <v>63660</v>
      </c>
      <c r="I623" s="1" t="str">
        <f t="shared" si="18"/>
        <v xml:space="preserve"> New York</v>
      </c>
      <c r="J623" s="1" t="str">
        <f t="shared" si="19"/>
        <v>Utica city</v>
      </c>
      <c r="K623" s="1">
        <f>IF(COUNTIF($I$5:I623,I623)=1,1,0)</f>
        <v>0</v>
      </c>
    </row>
    <row r="624" spans="1:11" x14ac:dyDescent="0.2">
      <c r="A624" s="9">
        <v>620</v>
      </c>
      <c r="B624" s="5" t="s">
        <v>619</v>
      </c>
      <c r="C624" s="6">
        <v>67238</v>
      </c>
      <c r="D624" s="6">
        <v>66791</v>
      </c>
      <c r="E624" s="6">
        <v>64750</v>
      </c>
      <c r="F624" s="6">
        <v>63928</v>
      </c>
      <c r="G624" s="6">
        <v>63723</v>
      </c>
      <c r="H624" s="6">
        <v>63596</v>
      </c>
      <c r="I624" s="1" t="str">
        <f t="shared" si="18"/>
        <v xml:space="preserve"> California</v>
      </c>
      <c r="J624" s="1" t="str">
        <f t="shared" si="19"/>
        <v>Lynwood city</v>
      </c>
      <c r="K624" s="1">
        <f>IF(COUNTIF($I$5:I624,I624)=1,1,0)</f>
        <v>0</v>
      </c>
    </row>
    <row r="625" spans="1:11" x14ac:dyDescent="0.2">
      <c r="A625" s="9">
        <v>621</v>
      </c>
      <c r="B625" s="5" t="s">
        <v>620</v>
      </c>
      <c r="C625" s="6">
        <v>62983</v>
      </c>
      <c r="D625" s="6">
        <v>63004</v>
      </c>
      <c r="E625" s="6">
        <v>63048</v>
      </c>
      <c r="F625" s="6">
        <v>63029</v>
      </c>
      <c r="G625" s="6">
        <v>63225</v>
      </c>
      <c r="H625" s="6">
        <v>63517</v>
      </c>
      <c r="I625" s="1" t="str">
        <f t="shared" si="18"/>
        <v xml:space="preserve"> California</v>
      </c>
      <c r="J625" s="1" t="str">
        <f t="shared" si="19"/>
        <v>Porterville city</v>
      </c>
      <c r="K625" s="1">
        <f>IF(COUNTIF($I$5:I625,I625)=1,1,0)</f>
        <v>0</v>
      </c>
    </row>
    <row r="626" spans="1:11" x14ac:dyDescent="0.2">
      <c r="A626" s="9">
        <v>622</v>
      </c>
      <c r="B626" s="5" t="s">
        <v>621</v>
      </c>
      <c r="C626" s="6">
        <v>59176</v>
      </c>
      <c r="D626" s="6">
        <v>59248</v>
      </c>
      <c r="E626" s="6">
        <v>59552</v>
      </c>
      <c r="F626" s="6">
        <v>60678</v>
      </c>
      <c r="G626" s="6">
        <v>62113</v>
      </c>
      <c r="H626" s="6">
        <v>63284</v>
      </c>
      <c r="I626" s="1" t="str">
        <f t="shared" si="18"/>
        <v xml:space="preserve"> Florida</v>
      </c>
      <c r="J626" s="1" t="str">
        <f t="shared" si="19"/>
        <v>Palm Beach Gardens city</v>
      </c>
      <c r="K626" s="1">
        <f>IF(COUNTIF($I$5:I626,I626)=1,1,0)</f>
        <v>0</v>
      </c>
    </row>
    <row r="627" spans="1:11" x14ac:dyDescent="0.2">
      <c r="A627" s="9">
        <v>623</v>
      </c>
      <c r="B627" s="5" t="s">
        <v>622</v>
      </c>
      <c r="C627" s="6">
        <v>61609</v>
      </c>
      <c r="D627" s="6">
        <v>61573</v>
      </c>
      <c r="E627" s="6">
        <v>61365</v>
      </c>
      <c r="F627" s="6">
        <v>61954</v>
      </c>
      <c r="G627" s="6">
        <v>62609</v>
      </c>
      <c r="H627" s="6">
        <v>63258</v>
      </c>
      <c r="I627" s="1" t="str">
        <f t="shared" si="18"/>
        <v xml:space="preserve"> Florida</v>
      </c>
      <c r="J627" s="1" t="str">
        <f t="shared" si="19"/>
        <v>Wellington village</v>
      </c>
      <c r="K627" s="1">
        <f>IF(COUNTIF($I$5:I627,I627)=1,1,0)</f>
        <v>0</v>
      </c>
    </row>
    <row r="628" spans="1:11" x14ac:dyDescent="0.2">
      <c r="A628" s="9">
        <v>624</v>
      </c>
      <c r="B628" s="5" t="s">
        <v>623</v>
      </c>
      <c r="C628" s="6">
        <v>62720</v>
      </c>
      <c r="D628" s="6">
        <v>62711</v>
      </c>
      <c r="E628" s="6">
        <v>62934</v>
      </c>
      <c r="F628" s="6">
        <v>62628</v>
      </c>
      <c r="G628" s="6">
        <v>62991</v>
      </c>
      <c r="H628" s="6">
        <v>63218</v>
      </c>
      <c r="I628" s="1" t="str">
        <f t="shared" si="18"/>
        <v xml:space="preserve"> Louisiana</v>
      </c>
      <c r="J628" s="1" t="str">
        <f t="shared" si="19"/>
        <v>Bossier City city</v>
      </c>
      <c r="K628" s="1">
        <f>IF(COUNTIF($I$5:I628,I628)=1,1,0)</f>
        <v>0</v>
      </c>
    </row>
    <row r="629" spans="1:11" x14ac:dyDescent="0.2">
      <c r="A629" s="9">
        <v>625</v>
      </c>
      <c r="B629" s="5" t="s">
        <v>624</v>
      </c>
      <c r="C629" s="6">
        <v>61055</v>
      </c>
      <c r="D629" s="6">
        <v>61036</v>
      </c>
      <c r="E629" s="6">
        <v>61394</v>
      </c>
      <c r="F629" s="6">
        <v>62772</v>
      </c>
      <c r="G629" s="6">
        <v>63099</v>
      </c>
      <c r="H629" s="6">
        <v>63122</v>
      </c>
      <c r="I629" s="1" t="str">
        <f t="shared" si="18"/>
        <v xml:space="preserve"> Georgia</v>
      </c>
      <c r="J629" s="1" t="str">
        <f t="shared" si="19"/>
        <v>Marietta city</v>
      </c>
      <c r="K629" s="1">
        <f>IF(COUNTIF($I$5:I629,I629)=1,1,0)</f>
        <v>0</v>
      </c>
    </row>
    <row r="630" spans="1:11" x14ac:dyDescent="0.2">
      <c r="A630" s="9">
        <v>626</v>
      </c>
      <c r="B630" s="5" t="s">
        <v>625</v>
      </c>
      <c r="C630" s="6">
        <v>46446</v>
      </c>
      <c r="D630" s="6">
        <v>47025</v>
      </c>
      <c r="E630" s="6">
        <v>50743</v>
      </c>
      <c r="F630" s="6">
        <v>54752</v>
      </c>
      <c r="G630" s="6">
        <v>57848</v>
      </c>
      <c r="H630" s="6">
        <v>62994</v>
      </c>
      <c r="I630" s="1" t="str">
        <f t="shared" si="18"/>
        <v xml:space="preserve"> Indiana</v>
      </c>
      <c r="J630" s="1" t="str">
        <f t="shared" si="19"/>
        <v>Westfield city</v>
      </c>
      <c r="K630" s="1">
        <f>IF(COUNTIF($I$5:I630,I630)=1,1,0)</f>
        <v>0</v>
      </c>
    </row>
    <row r="631" spans="1:11" x14ac:dyDescent="0.2">
      <c r="A631" s="9">
        <v>627</v>
      </c>
      <c r="B631" s="5" t="s">
        <v>626</v>
      </c>
      <c r="C631" s="6">
        <v>61098</v>
      </c>
      <c r="D631" s="6">
        <v>61183</v>
      </c>
      <c r="E631" s="6">
        <v>61147</v>
      </c>
      <c r="F631" s="6">
        <v>61697</v>
      </c>
      <c r="G631" s="6">
        <v>62360</v>
      </c>
      <c r="H631" s="6">
        <v>62987</v>
      </c>
      <c r="I631" s="1" t="str">
        <f t="shared" si="18"/>
        <v xml:space="preserve"> Florida</v>
      </c>
      <c r="J631" s="1" t="str">
        <f t="shared" si="19"/>
        <v>Jupiter town</v>
      </c>
      <c r="K631" s="1">
        <f>IF(COUNTIF($I$5:I631,I631)=1,1,0)</f>
        <v>0</v>
      </c>
    </row>
    <row r="632" spans="1:11" x14ac:dyDescent="0.2">
      <c r="A632" s="9">
        <v>628</v>
      </c>
      <c r="B632" s="5" t="s">
        <v>627</v>
      </c>
      <c r="C632" s="6">
        <v>61045</v>
      </c>
      <c r="D632" s="6">
        <v>60967</v>
      </c>
      <c r="E632" s="6">
        <v>61366</v>
      </c>
      <c r="F632" s="6">
        <v>61972</v>
      </c>
      <c r="G632" s="6">
        <v>61987</v>
      </c>
      <c r="H632" s="6">
        <v>62983</v>
      </c>
      <c r="I632" s="1" t="str">
        <f t="shared" si="18"/>
        <v xml:space="preserve"> California</v>
      </c>
      <c r="J632" s="1" t="str">
        <f t="shared" si="19"/>
        <v>Woodland city</v>
      </c>
      <c r="K632" s="1">
        <f>IF(COUNTIF($I$5:I632,I632)=1,1,0)</f>
        <v>0</v>
      </c>
    </row>
    <row r="633" spans="1:11" x14ac:dyDescent="0.2">
      <c r="A633" s="9">
        <v>629</v>
      </c>
      <c r="B633" s="5" t="s">
        <v>628</v>
      </c>
      <c r="C633" s="6">
        <v>57516</v>
      </c>
      <c r="D633" s="6">
        <v>57883</v>
      </c>
      <c r="E633" s="6">
        <v>59490</v>
      </c>
      <c r="F633" s="6">
        <v>61258</v>
      </c>
      <c r="G633" s="6">
        <v>61792</v>
      </c>
      <c r="H633" s="6">
        <v>62954</v>
      </c>
      <c r="I633" s="1" t="str">
        <f t="shared" si="18"/>
        <v xml:space="preserve"> Texas</v>
      </c>
      <c r="J633" s="1" t="str">
        <f t="shared" si="19"/>
        <v>Wylie city</v>
      </c>
      <c r="K633" s="1">
        <f>IF(COUNTIF($I$5:I633,I633)=1,1,0)</f>
        <v>0</v>
      </c>
    </row>
    <row r="634" spans="1:11" x14ac:dyDescent="0.2">
      <c r="A634" s="9">
        <v>630</v>
      </c>
      <c r="B634" s="5" t="s">
        <v>629</v>
      </c>
      <c r="C634" s="6">
        <v>64198</v>
      </c>
      <c r="D634" s="6">
        <v>64180</v>
      </c>
      <c r="E634" s="6">
        <v>63131</v>
      </c>
      <c r="F634" s="6">
        <v>62584</v>
      </c>
      <c r="G634" s="6">
        <v>62392</v>
      </c>
      <c r="H634" s="6">
        <v>62905</v>
      </c>
      <c r="I634" s="1" t="str">
        <f t="shared" si="18"/>
        <v xml:space="preserve"> Minnesota</v>
      </c>
      <c r="J634" s="1" t="str">
        <f t="shared" si="19"/>
        <v>Eden Prairie city</v>
      </c>
      <c r="K634" s="1">
        <f>IF(COUNTIF($I$5:I634,I634)=1,1,0)</f>
        <v>0</v>
      </c>
    </row>
    <row r="635" spans="1:11" x14ac:dyDescent="0.2">
      <c r="A635" s="9">
        <v>631</v>
      </c>
      <c r="B635" s="5" t="s">
        <v>630</v>
      </c>
      <c r="C635" s="6">
        <v>54910</v>
      </c>
      <c r="D635" s="6">
        <v>54928</v>
      </c>
      <c r="E635" s="6">
        <v>55622</v>
      </c>
      <c r="F635" s="6">
        <v>57503</v>
      </c>
      <c r="G635" s="6">
        <v>60329</v>
      </c>
      <c r="H635" s="6">
        <v>62777</v>
      </c>
      <c r="I635" s="1" t="str">
        <f t="shared" si="18"/>
        <v xml:space="preserve"> Florida</v>
      </c>
      <c r="J635" s="1" t="str">
        <f t="shared" si="19"/>
        <v>Apopka city</v>
      </c>
      <c r="K635" s="1">
        <f>IF(COUNTIF($I$5:I635,I635)=1,1,0)</f>
        <v>0</v>
      </c>
    </row>
    <row r="636" spans="1:11" x14ac:dyDescent="0.2">
      <c r="A636" s="9">
        <v>632</v>
      </c>
      <c r="B636" s="5" t="s">
        <v>631</v>
      </c>
      <c r="C636" s="6">
        <v>63608</v>
      </c>
      <c r="D636" s="6">
        <v>63619</v>
      </c>
      <c r="E636" s="6">
        <v>63415</v>
      </c>
      <c r="F636" s="6">
        <v>62661</v>
      </c>
      <c r="G636" s="6">
        <v>62266</v>
      </c>
      <c r="H636" s="6">
        <v>62709</v>
      </c>
      <c r="I636" s="1" t="str">
        <f t="shared" si="18"/>
        <v xml:space="preserve"> Washington</v>
      </c>
      <c r="J636" s="1" t="str">
        <f t="shared" si="19"/>
        <v>Lakewood city</v>
      </c>
      <c r="K636" s="1">
        <f>IF(COUNTIF($I$5:I636,I636)=1,1,0)</f>
        <v>0</v>
      </c>
    </row>
    <row r="637" spans="1:11" x14ac:dyDescent="0.2">
      <c r="A637" s="9">
        <v>633</v>
      </c>
      <c r="B637" s="5" t="s">
        <v>632</v>
      </c>
      <c r="C637" s="6">
        <v>62781</v>
      </c>
      <c r="D637" s="6">
        <v>62784</v>
      </c>
      <c r="E637" s="6">
        <v>62582</v>
      </c>
      <c r="F637" s="6">
        <v>62405</v>
      </c>
      <c r="G637" s="6">
        <v>62535</v>
      </c>
      <c r="H637" s="6">
        <v>62665</v>
      </c>
      <c r="I637" s="1" t="str">
        <f t="shared" si="18"/>
        <v xml:space="preserve"> Iowa</v>
      </c>
      <c r="J637" s="1" t="str">
        <f t="shared" si="19"/>
        <v>Council Bluffs city</v>
      </c>
      <c r="K637" s="1">
        <f>IF(COUNTIF($I$5:I637,I637)=1,1,0)</f>
        <v>0</v>
      </c>
    </row>
    <row r="638" spans="1:11" x14ac:dyDescent="0.2">
      <c r="A638" s="9">
        <v>634</v>
      </c>
      <c r="B638" s="5" t="s">
        <v>633</v>
      </c>
      <c r="C638" s="6">
        <v>64285</v>
      </c>
      <c r="D638" s="6">
        <v>64217</v>
      </c>
      <c r="E638" s="6">
        <v>63644</v>
      </c>
      <c r="F638" s="6">
        <v>63124</v>
      </c>
      <c r="G638" s="6">
        <v>62685</v>
      </c>
      <c r="H638" s="6">
        <v>62627</v>
      </c>
      <c r="I638" s="1" t="str">
        <f t="shared" si="18"/>
        <v xml:space="preserve"> California</v>
      </c>
      <c r="J638" s="1" t="str">
        <f t="shared" si="19"/>
        <v>San Clemente city</v>
      </c>
      <c r="K638" s="1">
        <f>IF(COUNTIF($I$5:I638,I638)=1,1,0)</f>
        <v>0</v>
      </c>
    </row>
    <row r="639" spans="1:11" x14ac:dyDescent="0.2">
      <c r="A639" s="9">
        <v>635</v>
      </c>
      <c r="B639" s="5" t="s">
        <v>634</v>
      </c>
      <c r="C639" s="6">
        <v>64230</v>
      </c>
      <c r="D639" s="6">
        <v>64218</v>
      </c>
      <c r="E639" s="6">
        <v>55432</v>
      </c>
      <c r="F639" s="6">
        <v>63016</v>
      </c>
      <c r="G639" s="6">
        <v>62857</v>
      </c>
      <c r="H639" s="6">
        <v>62581</v>
      </c>
      <c r="I639" s="1" t="str">
        <f t="shared" si="18"/>
        <v xml:space="preserve"> California</v>
      </c>
      <c r="J639" s="1" t="str">
        <f t="shared" si="19"/>
        <v>Santa Cruz city</v>
      </c>
      <c r="K639" s="1">
        <f>IF(COUNTIF($I$5:I639,I639)=1,1,0)</f>
        <v>0</v>
      </c>
    </row>
    <row r="640" spans="1:11" x14ac:dyDescent="0.2">
      <c r="A640" s="9">
        <v>636</v>
      </c>
      <c r="B640" s="5" t="s">
        <v>635</v>
      </c>
      <c r="C640" s="6">
        <v>59558</v>
      </c>
      <c r="D640" s="6">
        <v>59593</v>
      </c>
      <c r="E640" s="6">
        <v>59687</v>
      </c>
      <c r="F640" s="6">
        <v>59662</v>
      </c>
      <c r="G640" s="6">
        <v>61789</v>
      </c>
      <c r="H640" s="6">
        <v>62561</v>
      </c>
      <c r="I640" s="1" t="str">
        <f t="shared" si="18"/>
        <v xml:space="preserve"> New York</v>
      </c>
      <c r="J640" s="1" t="str">
        <f t="shared" si="19"/>
        <v>White Plains city</v>
      </c>
      <c r="K640" s="1">
        <f>IF(COUNTIF($I$5:I640,I640)=1,1,0)</f>
        <v>0</v>
      </c>
    </row>
    <row r="641" spans="1:11" x14ac:dyDescent="0.2">
      <c r="A641" s="9">
        <v>637</v>
      </c>
      <c r="B641" s="5" t="s">
        <v>636</v>
      </c>
      <c r="C641" s="6">
        <v>61602</v>
      </c>
      <c r="D641" s="6">
        <v>61839</v>
      </c>
      <c r="E641" s="6">
        <v>62093</v>
      </c>
      <c r="F641" s="6">
        <v>62060</v>
      </c>
      <c r="G641" s="6">
        <v>62060</v>
      </c>
      <c r="H641" s="6">
        <v>62528</v>
      </c>
      <c r="I641" s="1" t="str">
        <f t="shared" si="18"/>
        <v xml:space="preserve"> Michigan</v>
      </c>
      <c r="J641" s="1" t="str">
        <f t="shared" si="19"/>
        <v>Pontiac city</v>
      </c>
      <c r="K641" s="1">
        <f>IF(COUNTIF($I$5:I641,I641)=1,1,0)</f>
        <v>0</v>
      </c>
    </row>
    <row r="642" spans="1:11" x14ac:dyDescent="0.2">
      <c r="A642" s="9">
        <v>638</v>
      </c>
      <c r="B642" s="5" t="s">
        <v>637</v>
      </c>
      <c r="C642" s="6">
        <v>51906</v>
      </c>
      <c r="D642" s="6">
        <v>52626</v>
      </c>
      <c r="E642" s="6">
        <v>54694</v>
      </c>
      <c r="F642" s="6">
        <v>56071</v>
      </c>
      <c r="G642" s="6">
        <v>58825</v>
      </c>
      <c r="H642" s="6">
        <v>62380</v>
      </c>
      <c r="I642" s="1" t="str">
        <f t="shared" si="18"/>
        <v xml:space="preserve"> Arizona</v>
      </c>
      <c r="J642" s="1" t="str">
        <f t="shared" si="19"/>
        <v>Marana town</v>
      </c>
      <c r="K642" s="1">
        <f>IF(COUNTIF($I$5:I642,I642)=1,1,0)</f>
        <v>0</v>
      </c>
    </row>
    <row r="643" spans="1:11" x14ac:dyDescent="0.2">
      <c r="A643" s="9">
        <v>639</v>
      </c>
      <c r="B643" s="5" t="s">
        <v>638</v>
      </c>
      <c r="C643" s="6">
        <v>55175</v>
      </c>
      <c r="D643" s="6">
        <v>56209</v>
      </c>
      <c r="E643" s="6">
        <v>58124</v>
      </c>
      <c r="F643" s="6">
        <v>59378</v>
      </c>
      <c r="G643" s="6">
        <v>60684</v>
      </c>
      <c r="H643" s="6">
        <v>62352</v>
      </c>
      <c r="I643" s="1" t="str">
        <f t="shared" si="18"/>
        <v xml:space="preserve"> Utah</v>
      </c>
      <c r="J643" s="1" t="str">
        <f t="shared" si="19"/>
        <v>Herriman city</v>
      </c>
      <c r="K643" s="1">
        <f>IF(COUNTIF($I$5:I643,I643)=1,1,0)</f>
        <v>0</v>
      </c>
    </row>
    <row r="644" spans="1:11" x14ac:dyDescent="0.2">
      <c r="A644" s="9">
        <v>640</v>
      </c>
      <c r="B644" s="5" t="s">
        <v>639</v>
      </c>
      <c r="C644" s="6">
        <v>60182</v>
      </c>
      <c r="D644" s="6">
        <v>59831</v>
      </c>
      <c r="E644" s="6">
        <v>59050</v>
      </c>
      <c r="F644" s="6">
        <v>59751</v>
      </c>
      <c r="G644" s="6">
        <v>60899</v>
      </c>
      <c r="H644" s="6">
        <v>62202</v>
      </c>
      <c r="I644" s="1" t="str">
        <f t="shared" si="18"/>
        <v xml:space="preserve"> Florida</v>
      </c>
      <c r="J644" s="1" t="str">
        <f t="shared" si="19"/>
        <v>North Miami city</v>
      </c>
      <c r="K644" s="1">
        <f>IF(COUNTIF($I$5:I644,I644)=1,1,0)</f>
        <v>0</v>
      </c>
    </row>
    <row r="645" spans="1:11" x14ac:dyDescent="0.2">
      <c r="A645" s="9">
        <v>641</v>
      </c>
      <c r="B645" s="5" t="s">
        <v>640</v>
      </c>
      <c r="C645" s="6">
        <v>60861</v>
      </c>
      <c r="D645" s="6">
        <v>60744</v>
      </c>
      <c r="E645" s="6">
        <v>61122</v>
      </c>
      <c r="F645" s="6">
        <v>61407</v>
      </c>
      <c r="G645" s="6">
        <v>61823</v>
      </c>
      <c r="H645" s="6">
        <v>62195</v>
      </c>
      <c r="I645" s="1" t="str">
        <f t="shared" si="18"/>
        <v xml:space="preserve"> Connecticut</v>
      </c>
      <c r="J645" s="1" t="str">
        <f t="shared" si="19"/>
        <v>Bristol city</v>
      </c>
      <c r="K645" s="1">
        <f>IF(COUNTIF($I$5:I645,I645)=1,1,0)</f>
        <v>0</v>
      </c>
    </row>
    <row r="646" spans="1:11" x14ac:dyDescent="0.2">
      <c r="A646" s="9">
        <v>642</v>
      </c>
      <c r="B646" s="5" t="s">
        <v>641</v>
      </c>
      <c r="C646" s="6">
        <v>60782</v>
      </c>
      <c r="D646" s="6">
        <v>60641</v>
      </c>
      <c r="E646" s="6">
        <v>60561</v>
      </c>
      <c r="F646" s="6">
        <v>60594</v>
      </c>
      <c r="G646" s="6">
        <v>61212</v>
      </c>
      <c r="H646" s="6">
        <v>62070</v>
      </c>
      <c r="I646" s="1" t="str">
        <f t="shared" ref="I646:I709" si="20">_xlfn.TEXTAFTER(B646,",")</f>
        <v xml:space="preserve"> New Jersey</v>
      </c>
      <c r="J646" s="1" t="str">
        <f t="shared" ref="J646:J709" si="21">_xlfn.TEXTBEFORE(B646,", ")</f>
        <v>Vineland city</v>
      </c>
      <c r="K646" s="1">
        <f>IF(COUNTIF($I$5:I646,I646)=1,1,0)</f>
        <v>0</v>
      </c>
    </row>
    <row r="647" spans="1:11" x14ac:dyDescent="0.2">
      <c r="A647" s="9">
        <v>643</v>
      </c>
      <c r="B647" s="5" t="s">
        <v>642</v>
      </c>
      <c r="C647" s="6">
        <v>59918</v>
      </c>
      <c r="D647" s="6">
        <v>58345</v>
      </c>
      <c r="E647" s="6">
        <v>57005</v>
      </c>
      <c r="F647" s="6">
        <v>60734</v>
      </c>
      <c r="G647" s="6">
        <v>61627</v>
      </c>
      <c r="H647" s="6">
        <v>61993</v>
      </c>
      <c r="I647" s="1" t="str">
        <f t="shared" si="20"/>
        <v xml:space="preserve"> Oregon</v>
      </c>
      <c r="J647" s="1" t="str">
        <f t="shared" si="21"/>
        <v>Corvallis city</v>
      </c>
      <c r="K647" s="1">
        <f>IF(COUNTIF($I$5:I647,I647)=1,1,0)</f>
        <v>0</v>
      </c>
    </row>
    <row r="648" spans="1:11" x14ac:dyDescent="0.2">
      <c r="A648" s="9">
        <v>644</v>
      </c>
      <c r="B648" s="5" t="s">
        <v>643</v>
      </c>
      <c r="C648" s="6">
        <v>59350</v>
      </c>
      <c r="D648" s="6">
        <v>59408</v>
      </c>
      <c r="E648" s="6">
        <v>59659</v>
      </c>
      <c r="F648" s="6">
        <v>60022</v>
      </c>
      <c r="G648" s="6">
        <v>61079</v>
      </c>
      <c r="H648" s="6">
        <v>61936</v>
      </c>
      <c r="I648" s="1" t="str">
        <f t="shared" si="20"/>
        <v xml:space="preserve"> Massachusetts</v>
      </c>
      <c r="J648" s="1" t="str">
        <f t="shared" si="21"/>
        <v>Taunton city</v>
      </c>
      <c r="K648" s="1">
        <f>IF(COUNTIF($I$5:I648,I648)=1,1,0)</f>
        <v>0</v>
      </c>
    </row>
    <row r="649" spans="1:11" x14ac:dyDescent="0.2">
      <c r="A649" s="9">
        <v>645</v>
      </c>
      <c r="B649" s="5" t="s">
        <v>644</v>
      </c>
      <c r="C649" s="6">
        <v>54216</v>
      </c>
      <c r="D649" s="6">
        <v>54819</v>
      </c>
      <c r="E649" s="6">
        <v>56929</v>
      </c>
      <c r="F649" s="6">
        <v>58030</v>
      </c>
      <c r="G649" s="6">
        <v>59710</v>
      </c>
      <c r="H649" s="6">
        <v>61791</v>
      </c>
      <c r="I649" s="1" t="str">
        <f t="shared" si="20"/>
        <v xml:space="preserve"> Arkansas</v>
      </c>
      <c r="J649" s="1" t="str">
        <f t="shared" si="21"/>
        <v>Bentonville city</v>
      </c>
      <c r="K649" s="1">
        <f>IF(COUNTIF($I$5:I649,I649)=1,1,0)</f>
        <v>0</v>
      </c>
    </row>
    <row r="650" spans="1:11" x14ac:dyDescent="0.2">
      <c r="A650" s="9">
        <v>646</v>
      </c>
      <c r="B650" s="5" t="s">
        <v>645</v>
      </c>
      <c r="C650" s="6">
        <v>63390</v>
      </c>
      <c r="D650" s="6">
        <v>63167</v>
      </c>
      <c r="E650" s="6">
        <v>62426</v>
      </c>
      <c r="F650" s="6">
        <v>61737</v>
      </c>
      <c r="G650" s="6">
        <v>61439</v>
      </c>
      <c r="H650" s="6">
        <v>61544</v>
      </c>
      <c r="I650" s="1" t="str">
        <f t="shared" si="20"/>
        <v xml:space="preserve"> Michigan</v>
      </c>
      <c r="J650" s="1" t="str">
        <f t="shared" si="21"/>
        <v>Taylor city</v>
      </c>
      <c r="K650" s="1">
        <f>IF(COUNTIF($I$5:I650,I650)=1,1,0)</f>
        <v>0</v>
      </c>
    </row>
    <row r="651" spans="1:11" x14ac:dyDescent="0.2">
      <c r="A651" s="9">
        <v>647</v>
      </c>
      <c r="B651" s="5" t="s">
        <v>646</v>
      </c>
      <c r="C651" s="6">
        <v>57729</v>
      </c>
      <c r="D651" s="6">
        <v>57707</v>
      </c>
      <c r="E651" s="6">
        <v>58216</v>
      </c>
      <c r="F651" s="6">
        <v>58560</v>
      </c>
      <c r="G651" s="6">
        <v>59600</v>
      </c>
      <c r="H651" s="6">
        <v>61398</v>
      </c>
      <c r="I651" s="1" t="str">
        <f t="shared" si="20"/>
        <v xml:space="preserve"> Missouri</v>
      </c>
      <c r="J651" s="1" t="str">
        <f t="shared" si="21"/>
        <v>St. Peters city</v>
      </c>
      <c r="K651" s="1">
        <f>IF(COUNTIF($I$5:I651,I651)=1,1,0)</f>
        <v>0</v>
      </c>
    </row>
    <row r="652" spans="1:11" x14ac:dyDescent="0.2">
      <c r="A652" s="9">
        <v>648</v>
      </c>
      <c r="B652" s="5" t="s">
        <v>647</v>
      </c>
      <c r="C652" s="6">
        <v>63123</v>
      </c>
      <c r="D652" s="6">
        <v>63009</v>
      </c>
      <c r="E652" s="6">
        <v>62299</v>
      </c>
      <c r="F652" s="6">
        <v>61773</v>
      </c>
      <c r="G652" s="6">
        <v>61395</v>
      </c>
      <c r="H652" s="6">
        <v>61391</v>
      </c>
      <c r="I652" s="1" t="str">
        <f t="shared" si="20"/>
        <v xml:space="preserve"> California</v>
      </c>
      <c r="J652" s="1" t="str">
        <f t="shared" si="21"/>
        <v>La Habra city</v>
      </c>
      <c r="K652" s="1">
        <f>IF(COUNTIF($I$5:I652,I652)=1,1,0)</f>
        <v>0</v>
      </c>
    </row>
    <row r="653" spans="1:11" x14ac:dyDescent="0.2">
      <c r="A653" s="9">
        <v>649</v>
      </c>
      <c r="B653" s="5" t="s">
        <v>648</v>
      </c>
      <c r="C653" s="6">
        <v>57369</v>
      </c>
      <c r="D653" s="6">
        <v>57547</v>
      </c>
      <c r="E653" s="6">
        <v>59272</v>
      </c>
      <c r="F653" s="6">
        <v>59580</v>
      </c>
      <c r="G653" s="6">
        <v>60350</v>
      </c>
      <c r="H653" s="6">
        <v>61365</v>
      </c>
      <c r="I653" s="1" t="str">
        <f t="shared" si="20"/>
        <v xml:space="preserve"> North Carolina</v>
      </c>
      <c r="J653" s="1" t="str">
        <f t="shared" si="21"/>
        <v>Burlington city</v>
      </c>
      <c r="K653" s="1">
        <f>IF(COUNTIF($I$5:I653,I653)=1,1,0)</f>
        <v>0</v>
      </c>
    </row>
    <row r="654" spans="1:11" x14ac:dyDescent="0.2">
      <c r="A654" s="9">
        <v>650</v>
      </c>
      <c r="B654" s="5" t="s">
        <v>649</v>
      </c>
      <c r="C654" s="6">
        <v>58749</v>
      </c>
      <c r="D654" s="6">
        <v>58880</v>
      </c>
      <c r="E654" s="6">
        <v>59585</v>
      </c>
      <c r="F654" s="6">
        <v>59552</v>
      </c>
      <c r="G654" s="6">
        <v>60591</v>
      </c>
      <c r="H654" s="6">
        <v>61246</v>
      </c>
      <c r="I654" s="1" t="str">
        <f t="shared" si="20"/>
        <v xml:space="preserve"> Missouri</v>
      </c>
      <c r="J654" s="1" t="str">
        <f t="shared" si="21"/>
        <v>Blue Springs city</v>
      </c>
      <c r="K654" s="1">
        <f>IF(COUNTIF($I$5:I654,I654)=1,1,0)</f>
        <v>0</v>
      </c>
    </row>
    <row r="655" spans="1:11" x14ac:dyDescent="0.2">
      <c r="A655" s="9">
        <v>651</v>
      </c>
      <c r="B655" s="5" t="s">
        <v>650</v>
      </c>
      <c r="C655" s="6">
        <v>46468</v>
      </c>
      <c r="D655" s="6">
        <v>47212</v>
      </c>
      <c r="E655" s="6">
        <v>51246</v>
      </c>
      <c r="F655" s="6">
        <v>55496</v>
      </c>
      <c r="G655" s="6">
        <v>58859</v>
      </c>
      <c r="H655" s="6">
        <v>61219</v>
      </c>
      <c r="I655" s="1" t="str">
        <f t="shared" si="20"/>
        <v xml:space="preserve"> Texas</v>
      </c>
      <c r="J655" s="1" t="str">
        <f t="shared" si="21"/>
        <v>Little Elm city</v>
      </c>
      <c r="K655" s="1">
        <f>IF(COUNTIF($I$5:I655,I655)=1,1,0)</f>
        <v>0</v>
      </c>
    </row>
    <row r="656" spans="1:11" x14ac:dyDescent="0.2">
      <c r="A656" s="9">
        <v>652</v>
      </c>
      <c r="B656" s="5" t="s">
        <v>651</v>
      </c>
      <c r="C656" s="6">
        <v>61875</v>
      </c>
      <c r="D656" s="6">
        <v>61865</v>
      </c>
      <c r="E656" s="6">
        <v>61912</v>
      </c>
      <c r="F656" s="6">
        <v>61344</v>
      </c>
      <c r="G656" s="6">
        <v>61131</v>
      </c>
      <c r="H656" s="6">
        <v>61182</v>
      </c>
      <c r="I656" s="1" t="str">
        <f t="shared" si="20"/>
        <v xml:space="preserve"> Oregon</v>
      </c>
      <c r="J656" s="1" t="str">
        <f t="shared" si="21"/>
        <v>Springfield city</v>
      </c>
      <c r="K656" s="1">
        <f>IF(COUNTIF($I$5:I656,I656)=1,1,0)</f>
        <v>0</v>
      </c>
    </row>
    <row r="657" spans="1:11" x14ac:dyDescent="0.2">
      <c r="A657" s="9">
        <v>653</v>
      </c>
      <c r="B657" s="5" t="s">
        <v>652</v>
      </c>
      <c r="C657" s="6">
        <v>62001</v>
      </c>
      <c r="D657" s="6">
        <v>61999</v>
      </c>
      <c r="E657" s="6">
        <v>61684</v>
      </c>
      <c r="F657" s="6">
        <v>61393</v>
      </c>
      <c r="G657" s="6">
        <v>61154</v>
      </c>
      <c r="H657" s="6">
        <v>61137</v>
      </c>
      <c r="I657" s="1" t="str">
        <f t="shared" si="20"/>
        <v xml:space="preserve"> California</v>
      </c>
      <c r="J657" s="1" t="str">
        <f t="shared" si="21"/>
        <v>Encinitas city</v>
      </c>
      <c r="K657" s="1">
        <f>IF(COUNTIF($I$5:I657,I657)=1,1,0)</f>
        <v>0</v>
      </c>
    </row>
    <row r="658" spans="1:11" x14ac:dyDescent="0.2">
      <c r="A658" s="9">
        <v>654</v>
      </c>
      <c r="B658" s="5" t="s">
        <v>653</v>
      </c>
      <c r="C658" s="6">
        <v>63287</v>
      </c>
      <c r="D658" s="6">
        <v>63054</v>
      </c>
      <c r="E658" s="6">
        <v>62277</v>
      </c>
      <c r="F658" s="6">
        <v>61404</v>
      </c>
      <c r="G658" s="6">
        <v>61017</v>
      </c>
      <c r="H658" s="6">
        <v>61040</v>
      </c>
      <c r="I658" s="1" t="str">
        <f t="shared" si="20"/>
        <v xml:space="preserve"> Michigan</v>
      </c>
      <c r="J658" s="1" t="str">
        <f t="shared" si="21"/>
        <v>Dearborn Heights city</v>
      </c>
      <c r="K658" s="1">
        <f>IF(COUNTIF($I$5:I658,I658)=1,1,0)</f>
        <v>0</v>
      </c>
    </row>
    <row r="659" spans="1:11" x14ac:dyDescent="0.2">
      <c r="A659" s="9">
        <v>655</v>
      </c>
      <c r="B659" s="5" t="s">
        <v>654</v>
      </c>
      <c r="C659" s="6">
        <v>59189</v>
      </c>
      <c r="D659" s="6">
        <v>59269</v>
      </c>
      <c r="E659" s="6">
        <v>59986</v>
      </c>
      <c r="F659" s="6">
        <v>61186</v>
      </c>
      <c r="G659" s="6">
        <v>61058</v>
      </c>
      <c r="H659" s="6">
        <v>61015</v>
      </c>
      <c r="I659" s="1" t="str">
        <f t="shared" si="20"/>
        <v xml:space="preserve"> Georgia</v>
      </c>
      <c r="J659" s="1" t="str">
        <f t="shared" si="21"/>
        <v>Stonecrest city</v>
      </c>
      <c r="K659" s="1">
        <f>IF(COUNTIF($I$5:I659,I659)=1,1,0)</f>
        <v>0</v>
      </c>
    </row>
    <row r="660" spans="1:11" x14ac:dyDescent="0.2">
      <c r="A660" s="9">
        <v>656</v>
      </c>
      <c r="B660" s="5" t="s">
        <v>655</v>
      </c>
      <c r="C660" s="6">
        <v>60833</v>
      </c>
      <c r="D660" s="6">
        <v>60622</v>
      </c>
      <c r="E660" s="6">
        <v>60454</v>
      </c>
      <c r="F660" s="6">
        <v>60381</v>
      </c>
      <c r="G660" s="6">
        <v>60438</v>
      </c>
      <c r="H660" s="6">
        <v>60849</v>
      </c>
      <c r="I660" s="1" t="str">
        <f t="shared" si="20"/>
        <v xml:space="preserve"> Connecticut</v>
      </c>
      <c r="J660" s="1" t="str">
        <f t="shared" si="21"/>
        <v>Meriden city</v>
      </c>
      <c r="K660" s="1">
        <f>IF(COUNTIF($I$5:I660,I660)=1,1,0)</f>
        <v>0</v>
      </c>
    </row>
    <row r="661" spans="1:11" x14ac:dyDescent="0.2">
      <c r="A661" s="9">
        <v>657</v>
      </c>
      <c r="B661" s="5" t="s">
        <v>656</v>
      </c>
      <c r="C661" s="6">
        <v>61114</v>
      </c>
      <c r="D661" s="6">
        <v>61094</v>
      </c>
      <c r="E661" s="6">
        <v>60758</v>
      </c>
      <c r="F661" s="6">
        <v>60727</v>
      </c>
      <c r="G661" s="6">
        <v>60670</v>
      </c>
      <c r="H661" s="6">
        <v>60767</v>
      </c>
      <c r="I661" s="1" t="str">
        <f t="shared" si="20"/>
        <v xml:space="preserve"> California</v>
      </c>
      <c r="J661" s="1" t="str">
        <f t="shared" si="21"/>
        <v>La Mesa city</v>
      </c>
      <c r="K661" s="1">
        <f>IF(COUNTIF($I$5:I661,I661)=1,1,0)</f>
        <v>0</v>
      </c>
    </row>
    <row r="662" spans="1:11" x14ac:dyDescent="0.2">
      <c r="A662" s="9">
        <v>658</v>
      </c>
      <c r="B662" s="5" t="s">
        <v>657</v>
      </c>
      <c r="C662" s="6">
        <v>62247</v>
      </c>
      <c r="D662" s="6">
        <v>61911</v>
      </c>
      <c r="E662" s="6">
        <v>59475</v>
      </c>
      <c r="F662" s="6">
        <v>58967</v>
      </c>
      <c r="G662" s="6">
        <v>58966</v>
      </c>
      <c r="H662" s="6">
        <v>60702</v>
      </c>
      <c r="I662" s="1" t="str">
        <f t="shared" si="20"/>
        <v xml:space="preserve"> Massachusetts</v>
      </c>
      <c r="J662" s="1" t="str">
        <f t="shared" si="21"/>
        <v>Revere city</v>
      </c>
      <c r="K662" s="1">
        <f>IF(COUNTIF($I$5:I662,I662)=1,1,0)</f>
        <v>0</v>
      </c>
    </row>
    <row r="663" spans="1:11" x14ac:dyDescent="0.2">
      <c r="A663" s="9">
        <v>659</v>
      </c>
      <c r="B663" s="5" t="s">
        <v>658</v>
      </c>
      <c r="C663" s="6">
        <v>60249</v>
      </c>
      <c r="D663" s="6">
        <v>60284</v>
      </c>
      <c r="E663" s="6">
        <v>60035</v>
      </c>
      <c r="F663" s="6">
        <v>60136</v>
      </c>
      <c r="G663" s="6">
        <v>60394</v>
      </c>
      <c r="H663" s="6">
        <v>60675</v>
      </c>
      <c r="I663" s="1" t="str">
        <f t="shared" si="20"/>
        <v xml:space="preserve"> Kentucky</v>
      </c>
      <c r="J663" s="1" t="str">
        <f t="shared" si="21"/>
        <v>Owensboro city</v>
      </c>
      <c r="K663" s="1">
        <f>IF(COUNTIF($I$5:I663,I663)=1,1,0)</f>
        <v>0</v>
      </c>
    </row>
    <row r="664" spans="1:11" x14ac:dyDescent="0.2">
      <c r="A664" s="9">
        <v>660</v>
      </c>
      <c r="B664" s="5" t="s">
        <v>659</v>
      </c>
      <c r="C664" s="6">
        <v>58701</v>
      </c>
      <c r="D664" s="6">
        <v>58607</v>
      </c>
      <c r="E664" s="6">
        <v>58132</v>
      </c>
      <c r="F664" s="6">
        <v>58780</v>
      </c>
      <c r="G664" s="6">
        <v>59786</v>
      </c>
      <c r="H664" s="6">
        <v>60650</v>
      </c>
      <c r="I664" s="1" t="str">
        <f t="shared" si="20"/>
        <v xml:space="preserve"> Florida</v>
      </c>
      <c r="J664" s="1" t="str">
        <f t="shared" si="21"/>
        <v>Margate city</v>
      </c>
      <c r="K664" s="1">
        <f>IF(COUNTIF($I$5:I664,I664)=1,1,0)</f>
        <v>0</v>
      </c>
    </row>
    <row r="665" spans="1:11" x14ac:dyDescent="0.2">
      <c r="A665" s="9">
        <v>661</v>
      </c>
      <c r="B665" s="5" t="s">
        <v>660</v>
      </c>
      <c r="C665" s="6">
        <v>62634</v>
      </c>
      <c r="D665" s="6">
        <v>62441</v>
      </c>
      <c r="E665" s="6">
        <v>61189</v>
      </c>
      <c r="F665" s="6">
        <v>60553</v>
      </c>
      <c r="G665" s="6">
        <v>60431</v>
      </c>
      <c r="H665" s="6">
        <v>60617</v>
      </c>
      <c r="I665" s="1" t="str">
        <f t="shared" si="20"/>
        <v xml:space="preserve"> California</v>
      </c>
      <c r="J665" s="1" t="str">
        <f t="shared" si="21"/>
        <v>Montebello city</v>
      </c>
      <c r="K665" s="1">
        <f>IF(COUNTIF($I$5:I665,I665)=1,1,0)</f>
        <v>0</v>
      </c>
    </row>
    <row r="666" spans="1:11" x14ac:dyDescent="0.2">
      <c r="A666" s="9">
        <v>662</v>
      </c>
      <c r="B666" s="5" t="s">
        <v>661</v>
      </c>
      <c r="C666" s="6">
        <v>59007</v>
      </c>
      <c r="D666" s="6">
        <v>59144</v>
      </c>
      <c r="E666" s="6">
        <v>59499</v>
      </c>
      <c r="F666" s="6">
        <v>59598</v>
      </c>
      <c r="G666" s="6">
        <v>60006</v>
      </c>
      <c r="H666" s="6">
        <v>60594</v>
      </c>
      <c r="I666" s="1" t="str">
        <f t="shared" si="20"/>
        <v xml:space="preserve"> California</v>
      </c>
      <c r="J666" s="1" t="str">
        <f t="shared" si="21"/>
        <v>Hanford city</v>
      </c>
      <c r="K666" s="1">
        <f>IF(COUNTIF($I$5:I666,I666)=1,1,0)</f>
        <v>0</v>
      </c>
    </row>
    <row r="667" spans="1:11" x14ac:dyDescent="0.2">
      <c r="A667" s="9">
        <v>663</v>
      </c>
      <c r="B667" s="5" t="s">
        <v>662</v>
      </c>
      <c r="C667" s="6">
        <v>43620</v>
      </c>
      <c r="D667" s="6">
        <v>44616</v>
      </c>
      <c r="E667" s="6">
        <v>49645</v>
      </c>
      <c r="F667" s="6">
        <v>54249</v>
      </c>
      <c r="G667" s="6">
        <v>57386</v>
      </c>
      <c r="H667" s="6">
        <v>60575</v>
      </c>
      <c r="I667" s="1" t="str">
        <f t="shared" si="20"/>
        <v xml:space="preserve"> Utah</v>
      </c>
      <c r="J667" s="1" t="str">
        <f t="shared" si="21"/>
        <v>Eagle Mountain city</v>
      </c>
      <c r="K667" s="1">
        <f>IF(COUNTIF($I$5:I667,I667)=1,1,0)</f>
        <v>0</v>
      </c>
    </row>
    <row r="668" spans="1:11" x14ac:dyDescent="0.2">
      <c r="A668" s="9">
        <v>664</v>
      </c>
      <c r="B668" s="5" t="s">
        <v>663</v>
      </c>
      <c r="C668" s="6">
        <v>53197</v>
      </c>
      <c r="D668" s="6">
        <v>55369</v>
      </c>
      <c r="E668" s="6">
        <v>56356</v>
      </c>
      <c r="F668" s="6">
        <v>57685</v>
      </c>
      <c r="G668" s="6">
        <v>59517</v>
      </c>
      <c r="H668" s="6">
        <v>60521</v>
      </c>
      <c r="I668" s="1" t="str">
        <f t="shared" si="20"/>
        <v xml:space="preserve"> North Carolina</v>
      </c>
      <c r="J668" s="1" t="str">
        <f t="shared" si="21"/>
        <v>Kannapolis city</v>
      </c>
      <c r="K668" s="1">
        <f>IF(COUNTIF($I$5:I668,I668)=1,1,0)</f>
        <v>0</v>
      </c>
    </row>
    <row r="669" spans="1:11" x14ac:dyDescent="0.2">
      <c r="A669" s="9">
        <v>665</v>
      </c>
      <c r="B669" s="5" t="s">
        <v>664</v>
      </c>
      <c r="C669" s="6">
        <v>59533</v>
      </c>
      <c r="D669" s="6">
        <v>59399</v>
      </c>
      <c r="E669" s="6">
        <v>58079</v>
      </c>
      <c r="F669" s="6">
        <v>58123</v>
      </c>
      <c r="G669" s="6">
        <v>59008</v>
      </c>
      <c r="H669" s="6">
        <v>60390</v>
      </c>
      <c r="I669" s="1" t="str">
        <f t="shared" si="20"/>
        <v xml:space="preserve"> California</v>
      </c>
      <c r="J669" s="1" t="str">
        <f t="shared" si="21"/>
        <v>Gilroy city</v>
      </c>
      <c r="K669" s="1">
        <f>IF(COUNTIF($I$5:I669,I669)=1,1,0)</f>
        <v>0</v>
      </c>
    </row>
    <row r="670" spans="1:11" x14ac:dyDescent="0.2">
      <c r="A670" s="9">
        <v>666</v>
      </c>
      <c r="B670" s="5" t="s">
        <v>665</v>
      </c>
      <c r="C670" s="6">
        <v>53106</v>
      </c>
      <c r="D670" s="6">
        <v>53515</v>
      </c>
      <c r="E670" s="6">
        <v>55455</v>
      </c>
      <c r="F670" s="6">
        <v>56596</v>
      </c>
      <c r="G670" s="6">
        <v>57639</v>
      </c>
      <c r="H670" s="6">
        <v>60302</v>
      </c>
      <c r="I670" s="1" t="str">
        <f t="shared" si="20"/>
        <v xml:space="preserve"> Tennessee</v>
      </c>
      <c r="J670" s="1" t="str">
        <f t="shared" si="21"/>
        <v>Smyrna town</v>
      </c>
      <c r="K670" s="1">
        <f>IF(COUNTIF($I$5:I670,I670)=1,1,0)</f>
        <v>0</v>
      </c>
    </row>
    <row r="671" spans="1:11" x14ac:dyDescent="0.2">
      <c r="A671" s="9">
        <v>667</v>
      </c>
      <c r="B671" s="5" t="s">
        <v>666</v>
      </c>
      <c r="C671" s="6">
        <v>57443</v>
      </c>
      <c r="D671" s="6">
        <v>57471</v>
      </c>
      <c r="E671" s="6">
        <v>57639</v>
      </c>
      <c r="F671" s="6">
        <v>57707</v>
      </c>
      <c r="G671" s="6">
        <v>59543</v>
      </c>
      <c r="H671" s="6">
        <v>60159</v>
      </c>
      <c r="I671" s="1" t="str">
        <f t="shared" si="20"/>
        <v xml:space="preserve"> Massachusetts</v>
      </c>
      <c r="J671" s="1" t="str">
        <f t="shared" si="21"/>
        <v>Weymouth Town city</v>
      </c>
      <c r="K671" s="1">
        <f>IF(COUNTIF($I$5:I671,I671)=1,1,0)</f>
        <v>0</v>
      </c>
    </row>
    <row r="672" spans="1:11" x14ac:dyDescent="0.2">
      <c r="A672" s="9">
        <v>668</v>
      </c>
      <c r="B672" s="5" t="s">
        <v>667</v>
      </c>
      <c r="C672" s="6">
        <v>59603</v>
      </c>
      <c r="D672" s="6">
        <v>59572</v>
      </c>
      <c r="E672" s="6">
        <v>59661</v>
      </c>
      <c r="F672" s="6">
        <v>59660</v>
      </c>
      <c r="G672" s="6">
        <v>59899</v>
      </c>
      <c r="H672" s="6">
        <v>60093</v>
      </c>
      <c r="I672" s="1" t="str">
        <f t="shared" si="20"/>
        <v xml:space="preserve"> Indiana</v>
      </c>
      <c r="J672" s="1" t="str">
        <f t="shared" si="21"/>
        <v>Kokomo city</v>
      </c>
      <c r="K672" s="1">
        <f>IF(COUNTIF($I$5:I672,I672)=1,1,0)</f>
        <v>0</v>
      </c>
    </row>
    <row r="673" spans="1:11" x14ac:dyDescent="0.2">
      <c r="A673" s="9">
        <v>669</v>
      </c>
      <c r="B673" s="5" t="s">
        <v>668</v>
      </c>
      <c r="C673" s="6">
        <v>60478</v>
      </c>
      <c r="D673" s="6">
        <v>60453</v>
      </c>
      <c r="E673" s="6">
        <v>60416</v>
      </c>
      <c r="F673" s="6">
        <v>60464</v>
      </c>
      <c r="G673" s="6">
        <v>60243</v>
      </c>
      <c r="H673" s="6">
        <v>60013</v>
      </c>
      <c r="I673" s="1" t="str">
        <f t="shared" si="20"/>
        <v xml:space="preserve"> Montana</v>
      </c>
      <c r="J673" s="1" t="str">
        <f t="shared" si="21"/>
        <v>Great Falls city</v>
      </c>
      <c r="K673" s="1">
        <f>IF(COUNTIF($I$5:I673,I673)=1,1,0)</f>
        <v>0</v>
      </c>
    </row>
    <row r="674" spans="1:11" x14ac:dyDescent="0.2">
      <c r="A674" s="9">
        <v>670</v>
      </c>
      <c r="B674" s="5" t="s">
        <v>669</v>
      </c>
      <c r="C674" s="6">
        <v>61027</v>
      </c>
      <c r="D674" s="6">
        <v>61080</v>
      </c>
      <c r="E674" s="6">
        <v>60556</v>
      </c>
      <c r="F674" s="6">
        <v>60361</v>
      </c>
      <c r="G674" s="6">
        <v>60115</v>
      </c>
      <c r="H674" s="6">
        <v>60010</v>
      </c>
      <c r="I674" s="1" t="str">
        <f t="shared" si="20"/>
        <v xml:space="preserve"> Texas</v>
      </c>
      <c r="J674" s="1" t="str">
        <f t="shared" si="21"/>
        <v>Euless city</v>
      </c>
      <c r="K674" s="1">
        <f>IF(COUNTIF($I$5:I674,I674)=1,1,0)</f>
        <v>0</v>
      </c>
    </row>
    <row r="675" spans="1:11" x14ac:dyDescent="0.2">
      <c r="A675" s="9">
        <v>671</v>
      </c>
      <c r="B675" s="5" t="s">
        <v>670</v>
      </c>
      <c r="C675" s="6">
        <v>50208</v>
      </c>
      <c r="D675" s="6">
        <v>50603</v>
      </c>
      <c r="E675" s="6">
        <v>52744</v>
      </c>
      <c r="F675" s="6">
        <v>55222</v>
      </c>
      <c r="G675" s="6">
        <v>57480</v>
      </c>
      <c r="H675" s="6">
        <v>59975</v>
      </c>
      <c r="I675" s="1" t="str">
        <f t="shared" si="20"/>
        <v xml:space="preserve"> Florida</v>
      </c>
      <c r="J675" s="1" t="str">
        <f t="shared" si="21"/>
        <v>Winter Haven city</v>
      </c>
      <c r="K675" s="1">
        <f>IF(COUNTIF($I$5:I675,I675)=1,1,0)</f>
        <v>0</v>
      </c>
    </row>
    <row r="676" spans="1:11" x14ac:dyDescent="0.2">
      <c r="A676" s="9">
        <v>672</v>
      </c>
      <c r="B676" s="5" t="s">
        <v>671</v>
      </c>
      <c r="C676" s="6">
        <v>61284</v>
      </c>
      <c r="D676" s="6">
        <v>61143</v>
      </c>
      <c r="E676" s="6">
        <v>60887</v>
      </c>
      <c r="F676" s="6">
        <v>60240</v>
      </c>
      <c r="G676" s="6">
        <v>59818</v>
      </c>
      <c r="H676" s="6">
        <v>59961</v>
      </c>
      <c r="I676" s="1" t="str">
        <f t="shared" si="20"/>
        <v xml:space="preserve"> California</v>
      </c>
      <c r="J676" s="1" t="str">
        <f t="shared" si="21"/>
        <v>San Rafael city</v>
      </c>
      <c r="K676" s="1">
        <f>IF(COUNTIF($I$5:I676,I676)=1,1,0)</f>
        <v>0</v>
      </c>
    </row>
    <row r="677" spans="1:11" x14ac:dyDescent="0.2">
      <c r="A677" s="9">
        <v>673</v>
      </c>
      <c r="B677" s="5" t="s">
        <v>672</v>
      </c>
      <c r="C677" s="6">
        <v>59671</v>
      </c>
      <c r="D677" s="6">
        <v>59520</v>
      </c>
      <c r="E677" s="6">
        <v>58874</v>
      </c>
      <c r="F677" s="6">
        <v>59062</v>
      </c>
      <c r="G677" s="6">
        <v>59395</v>
      </c>
      <c r="H677" s="6">
        <v>59898</v>
      </c>
      <c r="I677" s="1" t="str">
        <f t="shared" si="20"/>
        <v xml:space="preserve"> Massachusetts</v>
      </c>
      <c r="J677" s="1" t="str">
        <f t="shared" si="21"/>
        <v>Medford city</v>
      </c>
      <c r="K677" s="1">
        <f>IF(COUNTIF($I$5:I677,I677)=1,1,0)</f>
        <v>0</v>
      </c>
    </row>
    <row r="678" spans="1:11" x14ac:dyDescent="0.2">
      <c r="A678" s="9">
        <v>674</v>
      </c>
      <c r="B678" s="5" t="s">
        <v>673</v>
      </c>
      <c r="C678" s="6">
        <v>59173</v>
      </c>
      <c r="D678" s="6">
        <v>59149</v>
      </c>
      <c r="E678" s="6">
        <v>58561</v>
      </c>
      <c r="F678" s="6">
        <v>58345</v>
      </c>
      <c r="G678" s="6">
        <v>59355</v>
      </c>
      <c r="H678" s="6">
        <v>59845</v>
      </c>
      <c r="I678" s="1" t="str">
        <f t="shared" si="20"/>
        <v xml:space="preserve"> North Dakota</v>
      </c>
      <c r="J678" s="1" t="str">
        <f t="shared" si="21"/>
        <v>Grand Forks city</v>
      </c>
      <c r="K678" s="1">
        <f>IF(COUNTIF($I$5:I678,I678)=1,1,0)</f>
        <v>0</v>
      </c>
    </row>
    <row r="679" spans="1:11" x14ac:dyDescent="0.2">
      <c r="A679" s="9">
        <v>675</v>
      </c>
      <c r="B679" s="5" t="s">
        <v>674</v>
      </c>
      <c r="C679" s="6">
        <v>60337</v>
      </c>
      <c r="D679" s="6">
        <v>60259</v>
      </c>
      <c r="E679" s="6">
        <v>59524</v>
      </c>
      <c r="F679" s="6">
        <v>59150</v>
      </c>
      <c r="G679" s="6">
        <v>59342</v>
      </c>
      <c r="H679" s="6">
        <v>59784</v>
      </c>
      <c r="I679" s="1" t="str">
        <f t="shared" si="20"/>
        <v xml:space="preserve"> Wisconsin</v>
      </c>
      <c r="J679" s="1" t="str">
        <f t="shared" si="21"/>
        <v>West Allis city</v>
      </c>
      <c r="K679" s="1">
        <f>IF(COUNTIF($I$5:I679,I679)=1,1,0)</f>
        <v>0</v>
      </c>
    </row>
    <row r="680" spans="1:11" x14ac:dyDescent="0.2">
      <c r="A680" s="9">
        <v>676</v>
      </c>
      <c r="B680" s="5" t="s">
        <v>675</v>
      </c>
      <c r="C680" s="6">
        <v>57829</v>
      </c>
      <c r="D680" s="6">
        <v>57727</v>
      </c>
      <c r="E680" s="6">
        <v>57251</v>
      </c>
      <c r="F680" s="6">
        <v>57912</v>
      </c>
      <c r="G680" s="6">
        <v>58873</v>
      </c>
      <c r="H680" s="6">
        <v>59721</v>
      </c>
      <c r="I680" s="1" t="str">
        <f t="shared" si="20"/>
        <v xml:space="preserve"> Florida</v>
      </c>
      <c r="J680" s="1" t="str">
        <f t="shared" si="21"/>
        <v>Coconut Creek city</v>
      </c>
      <c r="K680" s="1">
        <f>IF(COUNTIF($I$5:I680,I680)=1,1,0)</f>
        <v>0</v>
      </c>
    </row>
    <row r="681" spans="1:11" x14ac:dyDescent="0.2">
      <c r="A681" s="9">
        <v>677</v>
      </c>
      <c r="B681" s="5" t="s">
        <v>676</v>
      </c>
      <c r="C681" s="6">
        <v>59185</v>
      </c>
      <c r="D681" s="6">
        <v>58871</v>
      </c>
      <c r="E681" s="6">
        <v>58753</v>
      </c>
      <c r="F681" s="6">
        <v>58479</v>
      </c>
      <c r="G681" s="6">
        <v>58408</v>
      </c>
      <c r="H681" s="6">
        <v>59569</v>
      </c>
      <c r="I681" s="1" t="str">
        <f t="shared" si="20"/>
        <v xml:space="preserve"> New York</v>
      </c>
      <c r="J681" s="1" t="str">
        <f t="shared" si="21"/>
        <v>Hempstead village</v>
      </c>
      <c r="K681" s="1">
        <f>IF(COUNTIF($I$5:I681,I681)=1,1,0)</f>
        <v>0</v>
      </c>
    </row>
    <row r="682" spans="1:11" x14ac:dyDescent="0.2">
      <c r="A682" s="9">
        <v>678</v>
      </c>
      <c r="B682" s="5" t="s">
        <v>677</v>
      </c>
      <c r="C682" s="6">
        <v>53055</v>
      </c>
      <c r="D682" s="6">
        <v>53311</v>
      </c>
      <c r="E682" s="6">
        <v>54452</v>
      </c>
      <c r="F682" s="6">
        <v>56052</v>
      </c>
      <c r="G682" s="6">
        <v>58006</v>
      </c>
      <c r="H682" s="6">
        <v>59502</v>
      </c>
      <c r="I682" s="1" t="str">
        <f t="shared" si="20"/>
        <v xml:space="preserve"> California</v>
      </c>
      <c r="J682" s="1" t="str">
        <f t="shared" si="21"/>
        <v>Beaumont city</v>
      </c>
      <c r="K682" s="1">
        <f>IF(COUNTIF($I$5:I682,I682)=1,1,0)</f>
        <v>0</v>
      </c>
    </row>
    <row r="683" spans="1:11" x14ac:dyDescent="0.2">
      <c r="A683" s="9">
        <v>679</v>
      </c>
      <c r="B683" s="5" t="s">
        <v>678</v>
      </c>
      <c r="C683" s="6">
        <v>57411</v>
      </c>
      <c r="D683" s="6">
        <v>57529</v>
      </c>
      <c r="E683" s="6">
        <v>58325</v>
      </c>
      <c r="F683" s="6">
        <v>58263</v>
      </c>
      <c r="G683" s="6">
        <v>58404</v>
      </c>
      <c r="H683" s="6">
        <v>59427</v>
      </c>
      <c r="I683" s="1" t="str">
        <f t="shared" si="20"/>
        <v xml:space="preserve"> Kansas</v>
      </c>
      <c r="J683" s="1" t="str">
        <f t="shared" si="21"/>
        <v>Lenexa city</v>
      </c>
      <c r="K683" s="1">
        <f>IF(COUNTIF($I$5:I683,I683)=1,1,0)</f>
        <v>0</v>
      </c>
    </row>
    <row r="684" spans="1:11" x14ac:dyDescent="0.2">
      <c r="A684" s="9">
        <v>680</v>
      </c>
      <c r="B684" s="5" t="s">
        <v>679</v>
      </c>
      <c r="C684" s="6">
        <v>50687</v>
      </c>
      <c r="D684" s="6">
        <v>51313</v>
      </c>
      <c r="E684" s="6">
        <v>54199</v>
      </c>
      <c r="F684" s="6">
        <v>56118</v>
      </c>
      <c r="G684" s="6">
        <v>57749</v>
      </c>
      <c r="H684" s="6">
        <v>59398</v>
      </c>
      <c r="I684" s="1" t="str">
        <f t="shared" si="20"/>
        <v xml:space="preserve"> Tennessee</v>
      </c>
      <c r="J684" s="1" t="str">
        <f t="shared" si="21"/>
        <v>Spring Hill city</v>
      </c>
      <c r="K684" s="1">
        <f>IF(COUNTIF($I$5:I684,I684)=1,1,0)</f>
        <v>0</v>
      </c>
    </row>
    <row r="685" spans="1:11" x14ac:dyDescent="0.2">
      <c r="A685" s="9">
        <v>681</v>
      </c>
      <c r="B685" s="5" t="s">
        <v>680</v>
      </c>
      <c r="C685" s="6">
        <v>59799</v>
      </c>
      <c r="D685" s="6">
        <v>59749</v>
      </c>
      <c r="E685" s="6">
        <v>59273</v>
      </c>
      <c r="F685" s="6">
        <v>58888</v>
      </c>
      <c r="G685" s="6">
        <v>58996</v>
      </c>
      <c r="H685" s="6">
        <v>59393</v>
      </c>
      <c r="I685" s="1" t="str">
        <f t="shared" si="20"/>
        <v xml:space="preserve"> California</v>
      </c>
      <c r="J685" s="1" t="str">
        <f t="shared" si="21"/>
        <v>Petaluma city</v>
      </c>
      <c r="K685" s="1">
        <f>IF(COUNTIF($I$5:I685,I685)=1,1,0)</f>
        <v>0</v>
      </c>
    </row>
    <row r="686" spans="1:11" x14ac:dyDescent="0.2">
      <c r="A686" s="9">
        <v>682</v>
      </c>
      <c r="B686" s="5" t="s">
        <v>681</v>
      </c>
      <c r="C686" s="6">
        <v>56761</v>
      </c>
      <c r="D686" s="6">
        <v>56777</v>
      </c>
      <c r="E686" s="6">
        <v>57030</v>
      </c>
      <c r="F686" s="6">
        <v>57990</v>
      </c>
      <c r="G686" s="6">
        <v>58262</v>
      </c>
      <c r="H686" s="6">
        <v>59370</v>
      </c>
      <c r="I686" s="1" t="str">
        <f t="shared" si="20"/>
        <v xml:space="preserve"> Georgia</v>
      </c>
      <c r="J686" s="1" t="str">
        <f t="shared" si="21"/>
        <v>Brookhaven city</v>
      </c>
      <c r="K686" s="1">
        <f>IF(COUNTIF($I$5:I686,I686)=1,1,0)</f>
        <v>0</v>
      </c>
    </row>
    <row r="687" spans="1:11" x14ac:dyDescent="0.2">
      <c r="A687" s="9">
        <v>683</v>
      </c>
      <c r="B687" s="5" t="s">
        <v>682</v>
      </c>
      <c r="C687" s="6">
        <v>62081</v>
      </c>
      <c r="D687" s="6">
        <v>61887</v>
      </c>
      <c r="E687" s="6">
        <v>60666</v>
      </c>
      <c r="F687" s="6">
        <v>59994</v>
      </c>
      <c r="G687" s="6">
        <v>59550</v>
      </c>
      <c r="H687" s="6">
        <v>59363</v>
      </c>
      <c r="I687" s="1" t="str">
        <f t="shared" si="20"/>
        <v xml:space="preserve"> California</v>
      </c>
      <c r="J687" s="1" t="str">
        <f t="shared" si="21"/>
        <v>Pico Rivera city</v>
      </c>
      <c r="K687" s="1">
        <f>IF(COUNTIF($I$5:I687,I687)=1,1,0)</f>
        <v>0</v>
      </c>
    </row>
    <row r="688" spans="1:11" x14ac:dyDescent="0.2">
      <c r="A688" s="9">
        <v>684</v>
      </c>
      <c r="B688" s="5" t="s">
        <v>683</v>
      </c>
      <c r="C688" s="6">
        <v>60057</v>
      </c>
      <c r="D688" s="6">
        <v>59913</v>
      </c>
      <c r="E688" s="6">
        <v>58257</v>
      </c>
      <c r="F688" s="6">
        <v>57690</v>
      </c>
      <c r="G688" s="6">
        <v>58264</v>
      </c>
      <c r="H688" s="6">
        <v>59149</v>
      </c>
      <c r="I688" s="1" t="str">
        <f t="shared" si="20"/>
        <v xml:space="preserve"> New Jersey</v>
      </c>
      <c r="J688" s="1" t="str">
        <f t="shared" si="21"/>
        <v>Hoboken city</v>
      </c>
      <c r="K688" s="1">
        <f>IF(COUNTIF($I$5:I688,I688)=1,1,0)</f>
        <v>0</v>
      </c>
    </row>
    <row r="689" spans="1:11" x14ac:dyDescent="0.2">
      <c r="A689" s="9">
        <v>685</v>
      </c>
      <c r="B689" s="5" t="s">
        <v>684</v>
      </c>
      <c r="C689" s="6">
        <v>60047</v>
      </c>
      <c r="D689" s="6">
        <v>59888</v>
      </c>
      <c r="E689" s="6">
        <v>59194</v>
      </c>
      <c r="F689" s="6">
        <v>59260</v>
      </c>
      <c r="G689" s="6">
        <v>59195</v>
      </c>
      <c r="H689" s="6">
        <v>59123</v>
      </c>
      <c r="I689" s="1" t="str">
        <f t="shared" si="20"/>
        <v xml:space="preserve"> Ohio</v>
      </c>
      <c r="J689" s="1" t="str">
        <f t="shared" si="21"/>
        <v>Youngstown city</v>
      </c>
      <c r="K689" s="1">
        <f>IF(COUNTIF($I$5:I689,I689)=1,1,0)</f>
        <v>0</v>
      </c>
    </row>
    <row r="690" spans="1:11" x14ac:dyDescent="0.2">
      <c r="A690" s="9">
        <v>686</v>
      </c>
      <c r="B690" s="5" t="s">
        <v>685</v>
      </c>
      <c r="C690" s="6">
        <v>60042</v>
      </c>
      <c r="D690" s="6">
        <v>59859</v>
      </c>
      <c r="E690" s="6">
        <v>59154</v>
      </c>
      <c r="F690" s="6">
        <v>59347</v>
      </c>
      <c r="G690" s="6">
        <v>59312</v>
      </c>
      <c r="H690" s="6">
        <v>59104</v>
      </c>
      <c r="I690" s="1" t="str">
        <f t="shared" si="20"/>
        <v xml:space="preserve"> California</v>
      </c>
      <c r="J690" s="1" t="str">
        <f t="shared" si="21"/>
        <v>Santee city</v>
      </c>
      <c r="K690" s="1">
        <f>IF(COUNTIF($I$5:I690,I690)=1,1,0)</f>
        <v>0</v>
      </c>
    </row>
    <row r="691" spans="1:11" x14ac:dyDescent="0.2">
      <c r="A691" s="9">
        <v>687</v>
      </c>
      <c r="B691" s="5" t="s">
        <v>686</v>
      </c>
      <c r="C691" s="6">
        <v>57128</v>
      </c>
      <c r="D691" s="6">
        <v>57368</v>
      </c>
      <c r="E691" s="6">
        <v>58177</v>
      </c>
      <c r="F691" s="6">
        <v>58428</v>
      </c>
      <c r="G691" s="6">
        <v>58802</v>
      </c>
      <c r="H691" s="6">
        <v>59037</v>
      </c>
      <c r="I691" s="1" t="str">
        <f t="shared" si="20"/>
        <v xml:space="preserve"> Arizona</v>
      </c>
      <c r="J691" s="1" t="str">
        <f t="shared" si="21"/>
        <v>Lake Havasu City city</v>
      </c>
      <c r="K691" s="1">
        <f>IF(COUNTIF($I$5:I691,I691)=1,1,0)</f>
        <v>0</v>
      </c>
    </row>
    <row r="692" spans="1:11" x14ac:dyDescent="0.2">
      <c r="A692" s="9">
        <v>688</v>
      </c>
      <c r="B692" s="5" t="s">
        <v>687</v>
      </c>
      <c r="C692" s="6">
        <v>59676</v>
      </c>
      <c r="D692" s="6">
        <v>59653</v>
      </c>
      <c r="E692" s="6">
        <v>59281</v>
      </c>
      <c r="F692" s="6">
        <v>58928</v>
      </c>
      <c r="G692" s="6">
        <v>58941</v>
      </c>
      <c r="H692" s="6">
        <v>58987</v>
      </c>
      <c r="I692" s="1" t="str">
        <f t="shared" si="20"/>
        <v xml:space="preserve"> Iowa</v>
      </c>
      <c r="J692" s="1" t="str">
        <f t="shared" si="21"/>
        <v>Dubuque city</v>
      </c>
      <c r="K692" s="1">
        <f>IF(COUNTIF($I$5:I692,I692)=1,1,0)</f>
        <v>0</v>
      </c>
    </row>
    <row r="693" spans="1:11" x14ac:dyDescent="0.2">
      <c r="A693" s="9">
        <v>689</v>
      </c>
      <c r="B693" s="5" t="s">
        <v>688</v>
      </c>
      <c r="C693" s="6">
        <v>61024</v>
      </c>
      <c r="D693" s="6">
        <v>60828</v>
      </c>
      <c r="E693" s="6">
        <v>59586</v>
      </c>
      <c r="F693" s="6">
        <v>58946</v>
      </c>
      <c r="G693" s="6">
        <v>58794</v>
      </c>
      <c r="H693" s="6">
        <v>58921</v>
      </c>
      <c r="I693" s="1" t="str">
        <f t="shared" si="20"/>
        <v xml:space="preserve"> California</v>
      </c>
      <c r="J693" s="1" t="str">
        <f t="shared" si="21"/>
        <v>Gardena city</v>
      </c>
      <c r="K693" s="1">
        <f>IF(COUNTIF($I$5:I693,I693)=1,1,0)</f>
        <v>0</v>
      </c>
    </row>
    <row r="694" spans="1:11" x14ac:dyDescent="0.2">
      <c r="A694" s="9">
        <v>690</v>
      </c>
      <c r="B694" s="5" t="s">
        <v>689</v>
      </c>
      <c r="C694" s="6">
        <v>60672</v>
      </c>
      <c r="D694" s="6">
        <v>60456</v>
      </c>
      <c r="E694" s="6">
        <v>59434</v>
      </c>
      <c r="F694" s="6">
        <v>58665</v>
      </c>
      <c r="G694" s="6">
        <v>58465</v>
      </c>
      <c r="H694" s="6">
        <v>58832</v>
      </c>
      <c r="I694" s="1" t="str">
        <f t="shared" si="20"/>
        <v xml:space="preserve"> Illinois</v>
      </c>
      <c r="J694" s="1" t="str">
        <f t="shared" si="21"/>
        <v>Des Plaines city</v>
      </c>
      <c r="K694" s="1">
        <f>IF(COUNTIF($I$5:I694,I694)=1,1,0)</f>
        <v>0</v>
      </c>
    </row>
    <row r="695" spans="1:11" x14ac:dyDescent="0.2">
      <c r="A695" s="9">
        <v>691</v>
      </c>
      <c r="B695" s="5" t="s">
        <v>690</v>
      </c>
      <c r="C695" s="6">
        <v>59097</v>
      </c>
      <c r="D695" s="6">
        <v>59315</v>
      </c>
      <c r="E695" s="6">
        <v>58749</v>
      </c>
      <c r="F695" s="6">
        <v>58522</v>
      </c>
      <c r="G695" s="6">
        <v>58748</v>
      </c>
      <c r="H695" s="6">
        <v>58823</v>
      </c>
      <c r="I695" s="1" t="str">
        <f t="shared" si="20"/>
        <v xml:space="preserve"> Wyoming</v>
      </c>
      <c r="J695" s="1" t="str">
        <f t="shared" si="21"/>
        <v>Casper city</v>
      </c>
      <c r="K695" s="1">
        <f>IF(COUNTIF($I$5:I695,I695)=1,1,0)</f>
        <v>0</v>
      </c>
    </row>
    <row r="696" spans="1:11" x14ac:dyDescent="0.2">
      <c r="A696" s="9">
        <v>692</v>
      </c>
      <c r="B696" s="5" t="s">
        <v>691</v>
      </c>
      <c r="C696" s="6">
        <v>60229</v>
      </c>
      <c r="D696" s="6">
        <v>59978</v>
      </c>
      <c r="E696" s="6">
        <v>58369</v>
      </c>
      <c r="F696" s="6">
        <v>57855</v>
      </c>
      <c r="G696" s="6">
        <v>57985</v>
      </c>
      <c r="H696" s="6">
        <v>58710</v>
      </c>
      <c r="I696" s="1" t="str">
        <f t="shared" si="20"/>
        <v xml:space="preserve"> California</v>
      </c>
      <c r="J696" s="1" t="str">
        <f t="shared" si="21"/>
        <v>Cupertino city</v>
      </c>
      <c r="K696" s="1">
        <f>IF(COUNTIF($I$5:I696,I696)=1,1,0)</f>
        <v>0</v>
      </c>
    </row>
    <row r="697" spans="1:11" x14ac:dyDescent="0.2">
      <c r="A697" s="9">
        <v>693</v>
      </c>
      <c r="B697" s="5" t="s">
        <v>692</v>
      </c>
      <c r="C697" s="6">
        <v>56326</v>
      </c>
      <c r="D697" s="6">
        <v>56764</v>
      </c>
      <c r="E697" s="6">
        <v>57136</v>
      </c>
      <c r="F697" s="6">
        <v>57994</v>
      </c>
      <c r="G697" s="6">
        <v>58234</v>
      </c>
      <c r="H697" s="6">
        <v>58644</v>
      </c>
      <c r="I697" s="1" t="str">
        <f t="shared" si="20"/>
        <v xml:space="preserve"> Washington</v>
      </c>
      <c r="J697" s="1" t="str">
        <f t="shared" si="21"/>
        <v>Lacey city</v>
      </c>
      <c r="K697" s="1">
        <f>IF(COUNTIF($I$5:I697,I697)=1,1,0)</f>
        <v>0</v>
      </c>
    </row>
    <row r="698" spans="1:11" x14ac:dyDescent="0.2">
      <c r="A698" s="9">
        <v>694</v>
      </c>
      <c r="B698" s="5" t="s">
        <v>693</v>
      </c>
      <c r="C698" s="6">
        <v>58413</v>
      </c>
      <c r="D698" s="6">
        <v>58396</v>
      </c>
      <c r="E698" s="6">
        <v>58372</v>
      </c>
      <c r="F698" s="6">
        <v>58376</v>
      </c>
      <c r="G698" s="6">
        <v>58455</v>
      </c>
      <c r="H698" s="6">
        <v>58531</v>
      </c>
      <c r="I698" s="1" t="str">
        <f t="shared" si="20"/>
        <v xml:space="preserve"> Indiana</v>
      </c>
      <c r="J698" s="1" t="str">
        <f t="shared" si="21"/>
        <v>Terre Haute city</v>
      </c>
      <c r="K698" s="1">
        <f>IF(COUNTIF($I$5:I698,I698)=1,1,0)</f>
        <v>0</v>
      </c>
    </row>
    <row r="699" spans="1:11" x14ac:dyDescent="0.2">
      <c r="A699" s="9">
        <v>695</v>
      </c>
      <c r="B699" s="5" t="s">
        <v>694</v>
      </c>
      <c r="C699" s="6">
        <v>58404</v>
      </c>
      <c r="D699" s="6">
        <v>58465</v>
      </c>
      <c r="E699" s="6">
        <v>58174</v>
      </c>
      <c r="F699" s="6">
        <v>58156</v>
      </c>
      <c r="G699" s="6">
        <v>58261</v>
      </c>
      <c r="H699" s="6">
        <v>58505</v>
      </c>
      <c r="I699" s="1" t="str">
        <f t="shared" si="20"/>
        <v xml:space="preserve"> Oklahoma</v>
      </c>
      <c r="J699" s="1" t="str">
        <f t="shared" si="21"/>
        <v>Midwest City city</v>
      </c>
      <c r="K699" s="1">
        <f>IF(COUNTIF($I$5:I699,I699)=1,1,0)</f>
        <v>0</v>
      </c>
    </row>
    <row r="700" spans="1:11" x14ac:dyDescent="0.2">
      <c r="A700" s="9">
        <v>696</v>
      </c>
      <c r="B700" s="5" t="s">
        <v>695</v>
      </c>
      <c r="C700" s="6">
        <v>58722</v>
      </c>
      <c r="D700" s="6">
        <v>61476</v>
      </c>
      <c r="E700" s="6">
        <v>58095</v>
      </c>
      <c r="F700" s="6">
        <v>58372</v>
      </c>
      <c r="G700" s="6">
        <v>58122</v>
      </c>
      <c r="H700" s="6">
        <v>58460</v>
      </c>
      <c r="I700" s="1" t="str">
        <f t="shared" si="20"/>
        <v xml:space="preserve"> California</v>
      </c>
      <c r="J700" s="1" t="str">
        <f t="shared" si="21"/>
        <v>National City city</v>
      </c>
      <c r="K700" s="1">
        <f>IF(COUNTIF($I$5:I700,I700)=1,1,0)</f>
        <v>0</v>
      </c>
    </row>
    <row r="701" spans="1:11" x14ac:dyDescent="0.2">
      <c r="A701" s="9">
        <v>697</v>
      </c>
      <c r="B701" s="5" t="s">
        <v>696</v>
      </c>
      <c r="C701" s="6">
        <v>58051</v>
      </c>
      <c r="D701" s="6">
        <v>57943</v>
      </c>
      <c r="E701" s="6">
        <v>57677</v>
      </c>
      <c r="F701" s="6">
        <v>57335</v>
      </c>
      <c r="G701" s="6">
        <v>57304</v>
      </c>
      <c r="H701" s="6">
        <v>58441</v>
      </c>
      <c r="I701" s="1" t="str">
        <f t="shared" si="20"/>
        <v xml:space="preserve"> Pennsylvania</v>
      </c>
      <c r="J701" s="1" t="str">
        <f t="shared" si="21"/>
        <v>Lancaster city</v>
      </c>
      <c r="K701" s="1">
        <f>IF(COUNTIF($I$5:I701,I701)=1,1,0)</f>
        <v>0</v>
      </c>
    </row>
    <row r="702" spans="1:11" x14ac:dyDescent="0.2">
      <c r="A702" s="9">
        <v>698</v>
      </c>
      <c r="B702" s="5" t="s">
        <v>697</v>
      </c>
      <c r="C702" s="6">
        <v>58321</v>
      </c>
      <c r="D702" s="6">
        <v>58226</v>
      </c>
      <c r="E702" s="6">
        <v>57728</v>
      </c>
      <c r="F702" s="6">
        <v>57576</v>
      </c>
      <c r="G702" s="6">
        <v>57783</v>
      </c>
      <c r="H702" s="6">
        <v>58421</v>
      </c>
      <c r="I702" s="1" t="str">
        <f t="shared" si="20"/>
        <v xml:space="preserve"> Maryland</v>
      </c>
      <c r="J702" s="1" t="str">
        <f t="shared" si="21"/>
        <v>Bowie city</v>
      </c>
      <c r="K702" s="1">
        <f>IF(COUNTIF($I$5:I702,I702)=1,1,0)</f>
        <v>0</v>
      </c>
    </row>
    <row r="703" spans="1:11" x14ac:dyDescent="0.2">
      <c r="A703" s="9">
        <v>699</v>
      </c>
      <c r="B703" s="5" t="s">
        <v>698</v>
      </c>
      <c r="C703" s="6">
        <v>58203</v>
      </c>
      <c r="D703" s="6">
        <v>58056</v>
      </c>
      <c r="E703" s="6">
        <v>57861</v>
      </c>
      <c r="F703" s="6">
        <v>57724</v>
      </c>
      <c r="G703" s="6">
        <v>57836</v>
      </c>
      <c r="H703" s="6">
        <v>58251</v>
      </c>
      <c r="I703" s="1" t="str">
        <f t="shared" si="20"/>
        <v xml:space="preserve"> Michigan</v>
      </c>
      <c r="J703" s="1" t="str">
        <f t="shared" si="21"/>
        <v>Royal Oak city</v>
      </c>
      <c r="K703" s="1">
        <f>IF(COUNTIF($I$5:I703,I703)=1,1,0)</f>
        <v>0</v>
      </c>
    </row>
    <row r="704" spans="1:11" x14ac:dyDescent="0.2">
      <c r="A704" s="9">
        <v>700</v>
      </c>
      <c r="B704" s="5" t="s">
        <v>699</v>
      </c>
      <c r="C704" s="6">
        <v>56324</v>
      </c>
      <c r="D704" s="6">
        <v>56434</v>
      </c>
      <c r="E704" s="6">
        <v>57385</v>
      </c>
      <c r="F704" s="6">
        <v>57972</v>
      </c>
      <c r="G704" s="6">
        <v>58176</v>
      </c>
      <c r="H704" s="6">
        <v>58231</v>
      </c>
      <c r="I704" s="1" t="str">
        <f t="shared" si="20"/>
        <v xml:space="preserve"> Idaho</v>
      </c>
      <c r="J704" s="1" t="str">
        <f t="shared" si="21"/>
        <v>Pocatello city</v>
      </c>
      <c r="K704" s="1">
        <f>IF(COUNTIF($I$5:I704,I704)=1,1,0)</f>
        <v>0</v>
      </c>
    </row>
    <row r="705" spans="1:11" x14ac:dyDescent="0.2">
      <c r="A705" s="9">
        <v>701</v>
      </c>
      <c r="B705" s="5" t="s">
        <v>700</v>
      </c>
      <c r="C705" s="6">
        <v>55713</v>
      </c>
      <c r="D705" s="6">
        <v>55815</v>
      </c>
      <c r="E705" s="6">
        <v>56354</v>
      </c>
      <c r="F705" s="6">
        <v>57185</v>
      </c>
      <c r="G705" s="6">
        <v>57500</v>
      </c>
      <c r="H705" s="6">
        <v>58184</v>
      </c>
      <c r="I705" s="1" t="str">
        <f t="shared" si="20"/>
        <v xml:space="preserve"> Florida</v>
      </c>
      <c r="J705" s="1" t="str">
        <f t="shared" si="21"/>
        <v>Bradenton city</v>
      </c>
      <c r="K705" s="1">
        <f>IF(COUNTIF($I$5:I705,I705)=1,1,0)</f>
        <v>0</v>
      </c>
    </row>
    <row r="706" spans="1:11" x14ac:dyDescent="0.2">
      <c r="A706" s="9">
        <v>702</v>
      </c>
      <c r="B706" s="5" t="s">
        <v>701</v>
      </c>
      <c r="C706" s="6">
        <v>58642</v>
      </c>
      <c r="D706" s="6">
        <v>58682</v>
      </c>
      <c r="E706" s="6">
        <v>58770</v>
      </c>
      <c r="F706" s="6">
        <v>58094</v>
      </c>
      <c r="G706" s="6">
        <v>58226</v>
      </c>
      <c r="H706" s="6">
        <v>58148</v>
      </c>
      <c r="I706" s="1" t="str">
        <f t="shared" si="20"/>
        <v xml:space="preserve"> Nevada</v>
      </c>
      <c r="J706" s="1" t="str">
        <f t="shared" si="21"/>
        <v>Carson City</v>
      </c>
      <c r="K706" s="1">
        <f>IF(COUNTIF($I$5:I706,I706)=1,1,0)</f>
        <v>0</v>
      </c>
    </row>
    <row r="707" spans="1:11" x14ac:dyDescent="0.2">
      <c r="A707" s="9">
        <v>703</v>
      </c>
      <c r="B707" s="5" t="s">
        <v>702</v>
      </c>
      <c r="C707" s="6">
        <v>58644</v>
      </c>
      <c r="D707" s="6">
        <v>58590</v>
      </c>
      <c r="E707" s="6">
        <v>58333</v>
      </c>
      <c r="F707" s="6">
        <v>57955</v>
      </c>
      <c r="G707" s="6">
        <v>58041</v>
      </c>
      <c r="H707" s="6">
        <v>58138</v>
      </c>
      <c r="I707" s="1" t="str">
        <f t="shared" si="20"/>
        <v xml:space="preserve"> Ohio</v>
      </c>
      <c r="J707" s="1" t="str">
        <f t="shared" si="21"/>
        <v>Springfield city</v>
      </c>
      <c r="K707" s="1">
        <f>IF(COUNTIF($I$5:I707,I707)=1,1,0)</f>
        <v>0</v>
      </c>
    </row>
    <row r="708" spans="1:11" x14ac:dyDescent="0.2">
      <c r="A708" s="9">
        <v>704</v>
      </c>
      <c r="B708" s="5" t="s">
        <v>703</v>
      </c>
      <c r="C708" s="6">
        <v>58872</v>
      </c>
      <c r="D708" s="6">
        <v>58759</v>
      </c>
      <c r="E708" s="6">
        <v>58261</v>
      </c>
      <c r="F708" s="6">
        <v>57872</v>
      </c>
      <c r="G708" s="6">
        <v>57840</v>
      </c>
      <c r="H708" s="6">
        <v>58077</v>
      </c>
      <c r="I708" s="1" t="str">
        <f t="shared" si="20"/>
        <v xml:space="preserve"> Michigan</v>
      </c>
      <c r="J708" s="1" t="str">
        <f t="shared" si="21"/>
        <v>St. Clair Shores city</v>
      </c>
      <c r="K708" s="1">
        <f>IF(COUNTIF($I$5:I708,I708)=1,1,0)</f>
        <v>0</v>
      </c>
    </row>
    <row r="709" spans="1:11" x14ac:dyDescent="0.2">
      <c r="A709" s="9">
        <v>705</v>
      </c>
      <c r="B709" s="5" t="s">
        <v>704</v>
      </c>
      <c r="C709" s="6">
        <v>58723</v>
      </c>
      <c r="D709" s="6">
        <v>58545</v>
      </c>
      <c r="E709" s="6">
        <v>57919</v>
      </c>
      <c r="F709" s="6">
        <v>57575</v>
      </c>
      <c r="G709" s="6">
        <v>57522</v>
      </c>
      <c r="H709" s="6">
        <v>58020</v>
      </c>
      <c r="I709" s="1" t="str">
        <f t="shared" si="20"/>
        <v xml:space="preserve"> Illinois</v>
      </c>
      <c r="J709" s="1" t="str">
        <f t="shared" si="21"/>
        <v>Orland Park village</v>
      </c>
      <c r="K709" s="1">
        <f>IF(COUNTIF($I$5:I709,I709)=1,1,0)</f>
        <v>0</v>
      </c>
    </row>
    <row r="710" spans="1:11" x14ac:dyDescent="0.2">
      <c r="A710" s="9">
        <v>706</v>
      </c>
      <c r="B710" s="5" t="s">
        <v>705</v>
      </c>
      <c r="C710" s="6">
        <v>61109</v>
      </c>
      <c r="D710" s="6">
        <v>60899</v>
      </c>
      <c r="E710" s="6">
        <v>59574</v>
      </c>
      <c r="F710" s="6">
        <v>58772</v>
      </c>
      <c r="G710" s="6">
        <v>58253</v>
      </c>
      <c r="H710" s="6">
        <v>57996</v>
      </c>
      <c r="I710" s="1" t="str">
        <f t="shared" ref="I710:I773" si="22">_xlfn.TEXTAFTER(B710,",")</f>
        <v xml:space="preserve"> California</v>
      </c>
      <c r="J710" s="1" t="str">
        <f t="shared" ref="J710:J773" si="23">_xlfn.TEXTBEFORE(B710,", ")</f>
        <v>Monterey Park city</v>
      </c>
      <c r="K710" s="1">
        <f>IF(COUNTIF($I$5:I710,I710)=1,1,0)</f>
        <v>0</v>
      </c>
    </row>
    <row r="711" spans="1:11" x14ac:dyDescent="0.2">
      <c r="A711" s="9">
        <v>707</v>
      </c>
      <c r="B711" s="5" t="s">
        <v>706</v>
      </c>
      <c r="C711" s="6">
        <v>57321</v>
      </c>
      <c r="D711" s="6">
        <v>57134</v>
      </c>
      <c r="E711" s="6">
        <v>56862</v>
      </c>
      <c r="F711" s="6">
        <v>57245</v>
      </c>
      <c r="G711" s="6">
        <v>57776</v>
      </c>
      <c r="H711" s="6">
        <v>57974</v>
      </c>
      <c r="I711" s="1" t="str">
        <f t="shared" si="22"/>
        <v xml:space="preserve"> Alabama</v>
      </c>
      <c r="J711" s="1" t="str">
        <f t="shared" si="23"/>
        <v>Decatur city</v>
      </c>
      <c r="K711" s="1">
        <f>IF(COUNTIF($I$5:I711,I711)=1,1,0)</f>
        <v>0</v>
      </c>
    </row>
    <row r="712" spans="1:11" x14ac:dyDescent="0.2">
      <c r="A712" s="9">
        <v>708</v>
      </c>
      <c r="B712" s="5" t="s">
        <v>707</v>
      </c>
      <c r="C712" s="6">
        <v>53563</v>
      </c>
      <c r="D712" s="6">
        <v>53865</v>
      </c>
      <c r="E712" s="6">
        <v>55409</v>
      </c>
      <c r="F712" s="6">
        <v>56293</v>
      </c>
      <c r="G712" s="6">
        <v>57106</v>
      </c>
      <c r="H712" s="6">
        <v>57894</v>
      </c>
      <c r="I712" s="1" t="str">
        <f t="shared" si="22"/>
        <v xml:space="preserve"> Montana</v>
      </c>
      <c r="J712" s="1" t="str">
        <f t="shared" si="23"/>
        <v>Bozeman city</v>
      </c>
      <c r="K712" s="1">
        <f>IF(COUNTIF($I$5:I712,I712)=1,1,0)</f>
        <v>0</v>
      </c>
    </row>
    <row r="713" spans="1:11" x14ac:dyDescent="0.2">
      <c r="A713" s="9">
        <v>709</v>
      </c>
      <c r="B713" s="5" t="s">
        <v>708</v>
      </c>
      <c r="C713" s="6">
        <v>51905</v>
      </c>
      <c r="D713" s="6">
        <v>52286</v>
      </c>
      <c r="E713" s="6">
        <v>54319</v>
      </c>
      <c r="F713" s="6">
        <v>55706</v>
      </c>
      <c r="G713" s="6">
        <v>56684</v>
      </c>
      <c r="H713" s="6">
        <v>57875</v>
      </c>
      <c r="I713" s="1" t="str">
        <f t="shared" si="22"/>
        <v xml:space="preserve"> Texas</v>
      </c>
      <c r="J713" s="1" t="str">
        <f t="shared" si="23"/>
        <v>Texas City city</v>
      </c>
      <c r="K713" s="1">
        <f>IF(COUNTIF($I$5:I713,I713)=1,1,0)</f>
        <v>0</v>
      </c>
    </row>
    <row r="714" spans="1:11" x14ac:dyDescent="0.2">
      <c r="A714" s="9">
        <v>710</v>
      </c>
      <c r="B714" s="5" t="s">
        <v>709</v>
      </c>
      <c r="C714" s="6">
        <v>60439</v>
      </c>
      <c r="D714" s="6">
        <v>60380</v>
      </c>
      <c r="E714" s="6">
        <v>59266</v>
      </c>
      <c r="F714" s="6">
        <v>58160</v>
      </c>
      <c r="G714" s="6">
        <v>57758</v>
      </c>
      <c r="H714" s="6">
        <v>57819</v>
      </c>
      <c r="I714" s="1" t="str">
        <f t="shared" si="22"/>
        <v xml:space="preserve"> Utah</v>
      </c>
      <c r="J714" s="1" t="str">
        <f t="shared" si="23"/>
        <v>Taylorsville city</v>
      </c>
      <c r="K714" s="1">
        <f>IF(COUNTIF($I$5:I714,I714)=1,1,0)</f>
        <v>0</v>
      </c>
    </row>
    <row r="715" spans="1:11" x14ac:dyDescent="0.2">
      <c r="A715" s="9">
        <v>711</v>
      </c>
      <c r="B715" s="5" t="s">
        <v>710</v>
      </c>
      <c r="C715" s="6">
        <v>54851</v>
      </c>
      <c r="D715" s="6">
        <v>55198</v>
      </c>
      <c r="E715" s="6">
        <v>56197</v>
      </c>
      <c r="F715" s="6">
        <v>57688</v>
      </c>
      <c r="G715" s="6">
        <v>58061</v>
      </c>
      <c r="H715" s="6">
        <v>57764</v>
      </c>
      <c r="I715" s="1" t="str">
        <f t="shared" si="22"/>
        <v xml:space="preserve"> Florida</v>
      </c>
      <c r="J715" s="1" t="str">
        <f t="shared" si="23"/>
        <v>Sarasota city</v>
      </c>
      <c r="K715" s="1">
        <f>IF(COUNTIF($I$5:I715,I715)=1,1,0)</f>
        <v>0</v>
      </c>
    </row>
    <row r="716" spans="1:11" x14ac:dyDescent="0.2">
      <c r="A716" s="9">
        <v>712</v>
      </c>
      <c r="B716" s="5" t="s">
        <v>711</v>
      </c>
      <c r="C716" s="6">
        <v>54645</v>
      </c>
      <c r="D716" s="6">
        <v>54847</v>
      </c>
      <c r="E716" s="6">
        <v>55493</v>
      </c>
      <c r="F716" s="6">
        <v>56273</v>
      </c>
      <c r="G716" s="6">
        <v>57020</v>
      </c>
      <c r="H716" s="6">
        <v>57493</v>
      </c>
      <c r="I716" s="1" t="str">
        <f t="shared" si="22"/>
        <v xml:space="preserve"> Mississippi</v>
      </c>
      <c r="J716" s="1" t="str">
        <f t="shared" si="23"/>
        <v>Southaven city</v>
      </c>
      <c r="K716" s="1">
        <f>IF(COUNTIF($I$5:I716,I716)=1,1,0)</f>
        <v>0</v>
      </c>
    </row>
    <row r="717" spans="1:11" x14ac:dyDescent="0.2">
      <c r="A717" s="9">
        <v>713</v>
      </c>
      <c r="B717" s="5" t="s">
        <v>712</v>
      </c>
      <c r="C717" s="6">
        <v>55256</v>
      </c>
      <c r="D717" s="6">
        <v>55298</v>
      </c>
      <c r="E717" s="6">
        <v>56310</v>
      </c>
      <c r="F717" s="6">
        <v>56143</v>
      </c>
      <c r="G717" s="6">
        <v>56567</v>
      </c>
      <c r="H717" s="6">
        <v>57487</v>
      </c>
      <c r="I717" s="1" t="str">
        <f t="shared" si="22"/>
        <v xml:space="preserve"> New Jersey</v>
      </c>
      <c r="J717" s="1" t="str">
        <f t="shared" si="23"/>
        <v>New Brunswick city</v>
      </c>
      <c r="K717" s="1">
        <f>IF(COUNTIF($I$5:I717,I717)=1,1,0)</f>
        <v>0</v>
      </c>
    </row>
    <row r="718" spans="1:11" x14ac:dyDescent="0.2">
      <c r="A718" s="9">
        <v>714</v>
      </c>
      <c r="B718" s="5" t="s">
        <v>713</v>
      </c>
      <c r="C718" s="6">
        <v>37702</v>
      </c>
      <c r="D718" s="6">
        <v>38300</v>
      </c>
      <c r="E718" s="6">
        <v>44102</v>
      </c>
      <c r="F718" s="6">
        <v>49419</v>
      </c>
      <c r="G718" s="6">
        <v>52937</v>
      </c>
      <c r="H718" s="6">
        <v>57411</v>
      </c>
      <c r="I718" s="1" t="str">
        <f t="shared" si="22"/>
        <v xml:space="preserve"> Utah</v>
      </c>
      <c r="J718" s="1" t="str">
        <f t="shared" si="23"/>
        <v>Saratoga Springs city</v>
      </c>
      <c r="K718" s="1">
        <f>IF(COUNTIF($I$5:I718,I718)=1,1,0)</f>
        <v>0</v>
      </c>
    </row>
    <row r="719" spans="1:11" x14ac:dyDescent="0.2">
      <c r="A719" s="9">
        <v>715</v>
      </c>
      <c r="B719" s="5" t="s">
        <v>714</v>
      </c>
      <c r="C719" s="6">
        <v>54651</v>
      </c>
      <c r="D719" s="6">
        <v>54954</v>
      </c>
      <c r="E719" s="6">
        <v>56153</v>
      </c>
      <c r="F719" s="6">
        <v>56755</v>
      </c>
      <c r="G719" s="6">
        <v>56984</v>
      </c>
      <c r="H719" s="6">
        <v>57355</v>
      </c>
      <c r="I719" s="1" t="str">
        <f t="shared" si="22"/>
        <v xml:space="preserve"> Idaho</v>
      </c>
      <c r="J719" s="1" t="str">
        <f t="shared" si="23"/>
        <v>Coeur d'Alene city</v>
      </c>
      <c r="K719" s="1">
        <f>IF(COUNTIF($I$5:I719,I719)=1,1,0)</f>
        <v>0</v>
      </c>
    </row>
    <row r="720" spans="1:11" x14ac:dyDescent="0.2">
      <c r="A720" s="9">
        <v>716</v>
      </c>
      <c r="B720" s="5" t="s">
        <v>715</v>
      </c>
      <c r="C720" s="6">
        <v>54830</v>
      </c>
      <c r="D720" s="6">
        <v>55034</v>
      </c>
      <c r="E720" s="6">
        <v>55908</v>
      </c>
      <c r="F720" s="6">
        <v>55772</v>
      </c>
      <c r="G720" s="6">
        <v>56019</v>
      </c>
      <c r="H720" s="6">
        <v>57301</v>
      </c>
      <c r="I720" s="1" t="str">
        <f t="shared" si="22"/>
        <v xml:space="preserve"> Oregon</v>
      </c>
      <c r="J720" s="1" t="str">
        <f t="shared" si="23"/>
        <v>Tigard city</v>
      </c>
      <c r="K720" s="1">
        <f>IF(COUNTIF($I$5:I720,I720)=1,1,0)</f>
        <v>0</v>
      </c>
    </row>
    <row r="721" spans="1:11" x14ac:dyDescent="0.2">
      <c r="A721" s="9">
        <v>717</v>
      </c>
      <c r="B721" s="5" t="s">
        <v>716</v>
      </c>
      <c r="C721" s="6">
        <v>56199</v>
      </c>
      <c r="D721" s="6">
        <v>56167</v>
      </c>
      <c r="E721" s="6">
        <v>56316</v>
      </c>
      <c r="F721" s="6">
        <v>56630</v>
      </c>
      <c r="G721" s="6">
        <v>56912</v>
      </c>
      <c r="H721" s="6">
        <v>57177</v>
      </c>
      <c r="I721" s="1" t="str">
        <f t="shared" si="22"/>
        <v xml:space="preserve"> Georgia</v>
      </c>
      <c r="J721" s="1" t="str">
        <f t="shared" si="23"/>
        <v>Smyrna city</v>
      </c>
      <c r="K721" s="1">
        <f>IF(COUNTIF($I$5:I721,I721)=1,1,0)</f>
        <v>0</v>
      </c>
    </row>
    <row r="722" spans="1:11" x14ac:dyDescent="0.2">
      <c r="A722" s="9">
        <v>718</v>
      </c>
      <c r="B722" s="5" t="s">
        <v>717</v>
      </c>
      <c r="C722" s="6">
        <v>56332</v>
      </c>
      <c r="D722" s="6">
        <v>56526</v>
      </c>
      <c r="E722" s="6">
        <v>56820</v>
      </c>
      <c r="F722" s="6">
        <v>56768</v>
      </c>
      <c r="G722" s="6">
        <v>56974</v>
      </c>
      <c r="H722" s="6">
        <v>57156</v>
      </c>
      <c r="I722" s="1" t="str">
        <f t="shared" si="22"/>
        <v xml:space="preserve"> Oregon</v>
      </c>
      <c r="J722" s="1" t="str">
        <f t="shared" si="23"/>
        <v>Albany city</v>
      </c>
      <c r="K722" s="1">
        <f>IF(COUNTIF($I$5:I722,I722)=1,1,0)</f>
        <v>0</v>
      </c>
    </row>
    <row r="723" spans="1:11" x14ac:dyDescent="0.2">
      <c r="A723" s="9">
        <v>719</v>
      </c>
      <c r="B723" s="5" t="s">
        <v>718</v>
      </c>
      <c r="C723" s="6">
        <v>53665</v>
      </c>
      <c r="D723" s="6">
        <v>53887</v>
      </c>
      <c r="E723" s="6">
        <v>54908</v>
      </c>
      <c r="F723" s="6">
        <v>56702</v>
      </c>
      <c r="G723" s="6">
        <v>56915</v>
      </c>
      <c r="H723" s="6">
        <v>57112</v>
      </c>
      <c r="I723" s="1" t="str">
        <f t="shared" si="22"/>
        <v xml:space="preserve"> Florida</v>
      </c>
      <c r="J723" s="1" t="str">
        <f t="shared" si="23"/>
        <v>Bonita Springs city</v>
      </c>
      <c r="K723" s="1">
        <f>IF(COUNTIF($I$5:I723,I723)=1,1,0)</f>
        <v>0</v>
      </c>
    </row>
    <row r="724" spans="1:11" x14ac:dyDescent="0.2">
      <c r="A724" s="9">
        <v>720</v>
      </c>
      <c r="B724" s="5" t="s">
        <v>719</v>
      </c>
      <c r="C724" s="6">
        <v>55535</v>
      </c>
      <c r="D724" s="6">
        <v>55510</v>
      </c>
      <c r="E724" s="6">
        <v>55697</v>
      </c>
      <c r="F724" s="6">
        <v>56207</v>
      </c>
      <c r="G724" s="6">
        <v>56761</v>
      </c>
      <c r="H724" s="6">
        <v>57109</v>
      </c>
      <c r="I724" s="1" t="str">
        <f t="shared" si="22"/>
        <v xml:space="preserve"> Tennessee</v>
      </c>
      <c r="J724" s="1" t="str">
        <f t="shared" si="23"/>
        <v>Kingsport city</v>
      </c>
      <c r="K724" s="1">
        <f>IF(COUNTIF($I$5:I724,I724)=1,1,0)</f>
        <v>0</v>
      </c>
    </row>
    <row r="725" spans="1:11" x14ac:dyDescent="0.2">
      <c r="A725" s="9">
        <v>721</v>
      </c>
      <c r="B725" s="5" t="s">
        <v>720</v>
      </c>
      <c r="C725" s="6">
        <v>57860</v>
      </c>
      <c r="D725" s="6">
        <v>57822</v>
      </c>
      <c r="E725" s="6">
        <v>57561</v>
      </c>
      <c r="F725" s="6">
        <v>57082</v>
      </c>
      <c r="G725" s="6">
        <v>57035</v>
      </c>
      <c r="H725" s="6">
        <v>57028</v>
      </c>
      <c r="I725" s="1" t="str">
        <f t="shared" si="22"/>
        <v xml:space="preserve"> Ohio</v>
      </c>
      <c r="J725" s="1" t="str">
        <f t="shared" si="23"/>
        <v>Kettering city</v>
      </c>
      <c r="K725" s="1">
        <f>IF(COUNTIF($I$5:I725,I725)=1,1,0)</f>
        <v>0</v>
      </c>
    </row>
    <row r="726" spans="1:11" x14ac:dyDescent="0.2">
      <c r="A726" s="9">
        <v>722</v>
      </c>
      <c r="B726" s="5" t="s">
        <v>721</v>
      </c>
      <c r="C726" s="6">
        <v>55437</v>
      </c>
      <c r="D726" s="6">
        <v>55376</v>
      </c>
      <c r="E726" s="6">
        <v>55458</v>
      </c>
      <c r="F726" s="6">
        <v>55533</v>
      </c>
      <c r="G726" s="6">
        <v>56048</v>
      </c>
      <c r="H726" s="6">
        <v>56939</v>
      </c>
      <c r="I726" s="1" t="str">
        <f t="shared" si="22"/>
        <v xml:space="preserve"> New Jersey</v>
      </c>
      <c r="J726" s="1" t="str">
        <f t="shared" si="23"/>
        <v>Perth Amboy city</v>
      </c>
      <c r="K726" s="1">
        <f>IF(COUNTIF($I$5:I726,I726)=1,1,0)</f>
        <v>0</v>
      </c>
    </row>
    <row r="727" spans="1:11" x14ac:dyDescent="0.2">
      <c r="A727" s="9">
        <v>723</v>
      </c>
      <c r="B727" s="5" t="s">
        <v>722</v>
      </c>
      <c r="C727" s="6">
        <v>52842</v>
      </c>
      <c r="D727" s="6">
        <v>52869</v>
      </c>
      <c r="E727" s="6">
        <v>54506</v>
      </c>
      <c r="F727" s="6">
        <v>54856</v>
      </c>
      <c r="G727" s="6">
        <v>55588</v>
      </c>
      <c r="H727" s="6">
        <v>56770</v>
      </c>
      <c r="I727" s="1" t="str">
        <f t="shared" si="22"/>
        <v xml:space="preserve"> Utah</v>
      </c>
      <c r="J727" s="1" t="str">
        <f t="shared" si="23"/>
        <v>Logan city</v>
      </c>
      <c r="K727" s="1">
        <f>IF(COUNTIF($I$5:I727,I727)=1,1,0)</f>
        <v>0</v>
      </c>
    </row>
    <row r="728" spans="1:11" x14ac:dyDescent="0.2">
      <c r="A728" s="9">
        <v>724</v>
      </c>
      <c r="B728" s="5" t="s">
        <v>723</v>
      </c>
      <c r="C728" s="6">
        <v>48006</v>
      </c>
      <c r="D728" s="6">
        <v>49723</v>
      </c>
      <c r="E728" s="6">
        <v>50923</v>
      </c>
      <c r="F728" s="6">
        <v>52367</v>
      </c>
      <c r="G728" s="6">
        <v>54431</v>
      </c>
      <c r="H728" s="6">
        <v>56764</v>
      </c>
      <c r="I728" s="1" t="str">
        <f t="shared" si="22"/>
        <v xml:space="preserve"> North Carolina</v>
      </c>
      <c r="J728" s="1" t="str">
        <f t="shared" si="23"/>
        <v>Wake Forest town</v>
      </c>
      <c r="K728" s="1">
        <f>IF(COUNTIF($I$5:I728,I728)=1,1,0)</f>
        <v>0</v>
      </c>
    </row>
    <row r="729" spans="1:11" x14ac:dyDescent="0.2">
      <c r="A729" s="9">
        <v>725</v>
      </c>
      <c r="B729" s="5" t="s">
        <v>724</v>
      </c>
      <c r="C729" s="6">
        <v>56108</v>
      </c>
      <c r="D729" s="6">
        <v>56039</v>
      </c>
      <c r="E729" s="6">
        <v>55704</v>
      </c>
      <c r="F729" s="6">
        <v>56238</v>
      </c>
      <c r="G729" s="6">
        <v>56391</v>
      </c>
      <c r="H729" s="6">
        <v>56711</v>
      </c>
      <c r="I729" s="1" t="str">
        <f t="shared" si="22"/>
        <v xml:space="preserve"> Texas</v>
      </c>
      <c r="J729" s="1" t="str">
        <f t="shared" si="23"/>
        <v>DeSoto city</v>
      </c>
      <c r="K729" s="1">
        <f>IF(COUNTIF($I$5:I729,I729)=1,1,0)</f>
        <v>0</v>
      </c>
    </row>
    <row r="730" spans="1:11" x14ac:dyDescent="0.2">
      <c r="A730" s="9">
        <v>726</v>
      </c>
      <c r="B730" s="5" t="s">
        <v>725</v>
      </c>
      <c r="C730" s="6">
        <v>57792</v>
      </c>
      <c r="D730" s="6">
        <v>57671</v>
      </c>
      <c r="E730" s="6">
        <v>57059</v>
      </c>
      <c r="F730" s="6">
        <v>56635</v>
      </c>
      <c r="G730" s="6">
        <v>56271</v>
      </c>
      <c r="H730" s="6">
        <v>56708</v>
      </c>
      <c r="I730" s="1" t="str">
        <f t="shared" si="22"/>
        <v xml:space="preserve"> Tennessee</v>
      </c>
      <c r="J730" s="1" t="str">
        <f t="shared" si="23"/>
        <v>Bartlett city</v>
      </c>
      <c r="K730" s="1">
        <f>IF(COUNTIF($I$5:I730,I730)=1,1,0)</f>
        <v>0</v>
      </c>
    </row>
    <row r="731" spans="1:11" x14ac:dyDescent="0.2">
      <c r="A731" s="9">
        <v>727</v>
      </c>
      <c r="B731" s="5" t="s">
        <v>726</v>
      </c>
      <c r="C731" s="6">
        <v>58367</v>
      </c>
      <c r="D731" s="6">
        <v>58149</v>
      </c>
      <c r="E731" s="6">
        <v>57101</v>
      </c>
      <c r="F731" s="6">
        <v>56358</v>
      </c>
      <c r="G731" s="6">
        <v>56178</v>
      </c>
      <c r="H731" s="6">
        <v>56531</v>
      </c>
      <c r="I731" s="1" t="str">
        <f t="shared" si="22"/>
        <v xml:space="preserve"> Illinois</v>
      </c>
      <c r="J731" s="1" t="str">
        <f t="shared" si="23"/>
        <v>Oak Lawn village</v>
      </c>
      <c r="K731" s="1">
        <f>IF(COUNTIF($I$5:I731,I731)=1,1,0)</f>
        <v>0</v>
      </c>
    </row>
    <row r="732" spans="1:11" x14ac:dyDescent="0.2">
      <c r="A732" s="9">
        <v>728</v>
      </c>
      <c r="B732" s="5" t="s">
        <v>727</v>
      </c>
      <c r="C732" s="6">
        <v>54600</v>
      </c>
      <c r="D732" s="6">
        <v>54344</v>
      </c>
      <c r="E732" s="6">
        <v>55021</v>
      </c>
      <c r="F732" s="6">
        <v>54805</v>
      </c>
      <c r="G732" s="6">
        <v>55561</v>
      </c>
      <c r="H732" s="6">
        <v>56507</v>
      </c>
      <c r="I732" s="1" t="str">
        <f t="shared" si="22"/>
        <v xml:space="preserve"> New Jersey</v>
      </c>
      <c r="J732" s="1" t="str">
        <f t="shared" si="23"/>
        <v>Plainfield city</v>
      </c>
      <c r="K732" s="1">
        <f>IF(COUNTIF($I$5:I732,I732)=1,1,0)</f>
        <v>0</v>
      </c>
    </row>
    <row r="733" spans="1:11" x14ac:dyDescent="0.2">
      <c r="A733" s="9">
        <v>729</v>
      </c>
      <c r="B733" s="5" t="s">
        <v>728</v>
      </c>
      <c r="C733" s="6">
        <v>56960</v>
      </c>
      <c r="D733" s="6">
        <v>56975</v>
      </c>
      <c r="E733" s="6">
        <v>56876</v>
      </c>
      <c r="F733" s="6">
        <v>56555</v>
      </c>
      <c r="G733" s="6">
        <v>56390</v>
      </c>
      <c r="H733" s="6">
        <v>56499</v>
      </c>
      <c r="I733" s="1" t="str">
        <f t="shared" si="22"/>
        <v xml:space="preserve"> California</v>
      </c>
      <c r="J733" s="1" t="str">
        <f t="shared" si="23"/>
        <v>Highland city</v>
      </c>
      <c r="K733" s="1">
        <f>IF(COUNTIF($I$5:I733,I733)=1,1,0)</f>
        <v>0</v>
      </c>
    </row>
    <row r="734" spans="1:11" x14ac:dyDescent="0.2">
      <c r="A734" s="9">
        <v>730</v>
      </c>
      <c r="B734" s="5" t="s">
        <v>729</v>
      </c>
      <c r="C734" s="6">
        <v>55367</v>
      </c>
      <c r="D734" s="6">
        <v>55609</v>
      </c>
      <c r="E734" s="6">
        <v>56034</v>
      </c>
      <c r="F734" s="6">
        <v>55948</v>
      </c>
      <c r="G734" s="6">
        <v>55907</v>
      </c>
      <c r="H734" s="6">
        <v>56271</v>
      </c>
      <c r="I734" s="1" t="str">
        <f t="shared" si="22"/>
        <v xml:space="preserve"> Washington</v>
      </c>
      <c r="J734" s="1" t="str">
        <f t="shared" si="23"/>
        <v>Olympia city</v>
      </c>
      <c r="K734" s="1">
        <f>IF(COUNTIF($I$5:I734,I734)=1,1,0)</f>
        <v>0</v>
      </c>
    </row>
    <row r="735" spans="1:11" x14ac:dyDescent="0.2">
      <c r="A735" s="9">
        <v>731</v>
      </c>
      <c r="B735" s="5" t="s">
        <v>730</v>
      </c>
      <c r="C735" s="6">
        <v>49748</v>
      </c>
      <c r="D735" s="6">
        <v>49972</v>
      </c>
      <c r="E735" s="6">
        <v>51319</v>
      </c>
      <c r="F735" s="6">
        <v>52872</v>
      </c>
      <c r="G735" s="6">
        <v>54473</v>
      </c>
      <c r="H735" s="6">
        <v>56268</v>
      </c>
      <c r="I735" s="1" t="str">
        <f t="shared" si="22"/>
        <v xml:space="preserve"> California</v>
      </c>
      <c r="J735" s="1" t="str">
        <f t="shared" si="23"/>
        <v>Lincoln city</v>
      </c>
      <c r="K735" s="1">
        <f>IF(COUNTIF($I$5:I735,I735)=1,1,0)</f>
        <v>0</v>
      </c>
    </row>
    <row r="736" spans="1:11" x14ac:dyDescent="0.2">
      <c r="A736" s="9">
        <v>732</v>
      </c>
      <c r="B736" s="5" t="s">
        <v>731</v>
      </c>
      <c r="C736" s="6">
        <v>47640</v>
      </c>
      <c r="D736" s="6">
        <v>48001</v>
      </c>
      <c r="E736" s="6">
        <v>51498</v>
      </c>
      <c r="F736" s="6">
        <v>53490</v>
      </c>
      <c r="G736" s="6">
        <v>55289</v>
      </c>
      <c r="H736" s="6">
        <v>56253</v>
      </c>
      <c r="I736" s="1" t="str">
        <f t="shared" si="22"/>
        <v xml:space="preserve"> Texas</v>
      </c>
      <c r="J736" s="1" t="str">
        <f t="shared" si="23"/>
        <v>Burleson city</v>
      </c>
      <c r="K736" s="1">
        <f>IF(COUNTIF($I$5:I736,I736)=1,1,0)</f>
        <v>0</v>
      </c>
    </row>
    <row r="737" spans="1:11" x14ac:dyDescent="0.2">
      <c r="A737" s="9">
        <v>733</v>
      </c>
      <c r="B737" s="5" t="s">
        <v>732</v>
      </c>
      <c r="C737" s="6">
        <v>57049</v>
      </c>
      <c r="D737" s="6">
        <v>56972</v>
      </c>
      <c r="E737" s="6">
        <v>56373</v>
      </c>
      <c r="F737" s="6">
        <v>55978</v>
      </c>
      <c r="G737" s="6">
        <v>55818</v>
      </c>
      <c r="H737" s="6">
        <v>56036</v>
      </c>
      <c r="I737" s="1" t="str">
        <f t="shared" si="22"/>
        <v xml:space="preserve"> California</v>
      </c>
      <c r="J737" s="1" t="str">
        <f t="shared" si="23"/>
        <v>Fountain Valley city</v>
      </c>
      <c r="K737" s="1">
        <f>IF(COUNTIF($I$5:I737,I737)=1,1,0)</f>
        <v>0</v>
      </c>
    </row>
    <row r="738" spans="1:11" x14ac:dyDescent="0.2">
      <c r="A738" s="9">
        <v>734</v>
      </c>
      <c r="B738" s="5" t="s">
        <v>733</v>
      </c>
      <c r="C738" s="6">
        <v>53922</v>
      </c>
      <c r="D738" s="6">
        <v>53819</v>
      </c>
      <c r="E738" s="6">
        <v>53973</v>
      </c>
      <c r="F738" s="6">
        <v>55114</v>
      </c>
      <c r="G738" s="6">
        <v>55660</v>
      </c>
      <c r="H738" s="6">
        <v>55991</v>
      </c>
      <c r="I738" s="1" t="str">
        <f t="shared" si="22"/>
        <v xml:space="preserve"> California</v>
      </c>
      <c r="J738" s="1" t="str">
        <f t="shared" si="23"/>
        <v>West Sacramento city</v>
      </c>
      <c r="K738" s="1">
        <f>IF(COUNTIF($I$5:I738,I738)=1,1,0)</f>
        <v>0</v>
      </c>
    </row>
    <row r="739" spans="1:11" x14ac:dyDescent="0.2">
      <c r="A739" s="9">
        <v>735</v>
      </c>
      <c r="B739" s="5" t="s">
        <v>734</v>
      </c>
      <c r="C739" s="6">
        <v>54848</v>
      </c>
      <c r="D739" s="6">
        <v>54821</v>
      </c>
      <c r="E739" s="6">
        <v>54959</v>
      </c>
      <c r="F739" s="6">
        <v>55106</v>
      </c>
      <c r="G739" s="6">
        <v>55403</v>
      </c>
      <c r="H739" s="6">
        <v>55851</v>
      </c>
      <c r="I739" s="1" t="str">
        <f t="shared" si="22"/>
        <v xml:space="preserve"> Indiana</v>
      </c>
      <c r="J739" s="1" t="str">
        <f t="shared" si="23"/>
        <v>Anderson city</v>
      </c>
      <c r="K739" s="1">
        <f>IF(COUNTIF($I$5:I739,I739)=1,1,0)</f>
        <v>0</v>
      </c>
    </row>
    <row r="740" spans="1:11" x14ac:dyDescent="0.2">
      <c r="A740" s="9">
        <v>736</v>
      </c>
      <c r="B740" s="5" t="s">
        <v>735</v>
      </c>
      <c r="C740" s="6">
        <v>56033</v>
      </c>
      <c r="D740" s="6">
        <v>56011</v>
      </c>
      <c r="E740" s="6">
        <v>56189</v>
      </c>
      <c r="F740" s="6">
        <v>55725</v>
      </c>
      <c r="G740" s="6">
        <v>55795</v>
      </c>
      <c r="H740" s="6">
        <v>55799</v>
      </c>
      <c r="I740" s="1" t="str">
        <f t="shared" si="22"/>
        <v xml:space="preserve"> Texas</v>
      </c>
      <c r="J740" s="1" t="str">
        <f t="shared" si="23"/>
        <v>Port Arthur city</v>
      </c>
      <c r="K740" s="1">
        <f>IF(COUNTIF($I$5:I740,I740)=1,1,0)</f>
        <v>0</v>
      </c>
    </row>
    <row r="741" spans="1:11" x14ac:dyDescent="0.2">
      <c r="A741" s="9">
        <v>737</v>
      </c>
      <c r="B741" s="5" t="s">
        <v>736</v>
      </c>
      <c r="C741" s="6">
        <v>55392</v>
      </c>
      <c r="D741" s="6">
        <v>55424</v>
      </c>
      <c r="E741" s="6">
        <v>55207</v>
      </c>
      <c r="F741" s="6">
        <v>55091</v>
      </c>
      <c r="G741" s="6">
        <v>54989</v>
      </c>
      <c r="H741" s="6">
        <v>55667</v>
      </c>
      <c r="I741" s="1" t="str">
        <f t="shared" si="22"/>
        <v xml:space="preserve"> Georgia</v>
      </c>
      <c r="J741" s="1" t="str">
        <f t="shared" si="23"/>
        <v>Valdosta city</v>
      </c>
      <c r="K741" s="1">
        <f>IF(COUNTIF($I$5:I741,I741)=1,1,0)</f>
        <v>0</v>
      </c>
    </row>
    <row r="742" spans="1:11" x14ac:dyDescent="0.2">
      <c r="A742" s="9">
        <v>738</v>
      </c>
      <c r="B742" s="5" t="s">
        <v>737</v>
      </c>
      <c r="C742" s="6">
        <v>51843</v>
      </c>
      <c r="D742" s="6">
        <v>52116</v>
      </c>
      <c r="E742" s="6">
        <v>53552</v>
      </c>
      <c r="F742" s="6">
        <v>54485</v>
      </c>
      <c r="G742" s="6">
        <v>55114</v>
      </c>
      <c r="H742" s="6">
        <v>55589</v>
      </c>
      <c r="I742" s="1" t="str">
        <f t="shared" si="22"/>
        <v xml:space="preserve"> Idaho</v>
      </c>
      <c r="J742" s="1" t="str">
        <f t="shared" si="23"/>
        <v>Twin Falls city</v>
      </c>
      <c r="K742" s="1">
        <f>IF(COUNTIF($I$5:I742,I742)=1,1,0)</f>
        <v>0</v>
      </c>
    </row>
    <row r="743" spans="1:11" x14ac:dyDescent="0.2">
      <c r="A743" s="9">
        <v>739</v>
      </c>
      <c r="B743" s="5" t="s">
        <v>738</v>
      </c>
      <c r="C743" s="6">
        <v>53896</v>
      </c>
      <c r="D743" s="6">
        <v>54196</v>
      </c>
      <c r="E743" s="6">
        <v>55255</v>
      </c>
      <c r="F743" s="6">
        <v>55497</v>
      </c>
      <c r="G743" s="6">
        <v>55499</v>
      </c>
      <c r="H743" s="6">
        <v>55515</v>
      </c>
      <c r="I743" s="1" t="str">
        <f t="shared" si="22"/>
        <v xml:space="preserve"> California</v>
      </c>
      <c r="J743" s="1" t="str">
        <f t="shared" si="23"/>
        <v>San Jacinto city</v>
      </c>
      <c r="K743" s="1">
        <f>IF(COUNTIF($I$5:I743,I743)=1,1,0)</f>
        <v>0</v>
      </c>
    </row>
    <row r="744" spans="1:11" x14ac:dyDescent="0.2">
      <c r="A744" s="9">
        <v>740</v>
      </c>
      <c r="B744" s="5" t="s">
        <v>739</v>
      </c>
      <c r="C744" s="6">
        <v>56862</v>
      </c>
      <c r="D744" s="6">
        <v>56705</v>
      </c>
      <c r="E744" s="6">
        <v>55651</v>
      </c>
      <c r="F744" s="6">
        <v>54927</v>
      </c>
      <c r="G744" s="6">
        <v>54748</v>
      </c>
      <c r="H744" s="6">
        <v>55460</v>
      </c>
      <c r="I744" s="1" t="str">
        <f t="shared" si="22"/>
        <v xml:space="preserve"> Illinois</v>
      </c>
      <c r="J744" s="1" t="str">
        <f t="shared" si="23"/>
        <v>Mount Prospect village</v>
      </c>
      <c r="K744" s="1">
        <f>IF(COUNTIF($I$5:I744,I744)=1,1,0)</f>
        <v>0</v>
      </c>
    </row>
    <row r="745" spans="1:11" x14ac:dyDescent="0.2">
      <c r="A745" s="9">
        <v>741</v>
      </c>
      <c r="B745" s="5" t="s">
        <v>740</v>
      </c>
      <c r="C745" s="6">
        <v>54501</v>
      </c>
      <c r="D745" s="6">
        <v>54402</v>
      </c>
      <c r="E745" s="6">
        <v>54190</v>
      </c>
      <c r="F745" s="6">
        <v>54376</v>
      </c>
      <c r="G745" s="6">
        <v>55043</v>
      </c>
      <c r="H745" s="6">
        <v>55418</v>
      </c>
      <c r="I745" s="1" t="str">
        <f t="shared" si="22"/>
        <v xml:space="preserve"> Massachusetts</v>
      </c>
      <c r="J745" s="1" t="str">
        <f t="shared" si="23"/>
        <v>Peabody city</v>
      </c>
      <c r="K745" s="1">
        <f>IF(COUNTIF($I$5:I745,I745)=1,1,0)</f>
        <v>0</v>
      </c>
    </row>
    <row r="746" spans="1:11" x14ac:dyDescent="0.2">
      <c r="A746" s="9">
        <v>742</v>
      </c>
      <c r="B746" s="5" t="s">
        <v>741</v>
      </c>
      <c r="C746" s="6">
        <v>55566</v>
      </c>
      <c r="D746" s="6">
        <v>55444</v>
      </c>
      <c r="E746" s="6">
        <v>55225</v>
      </c>
      <c r="F746" s="6">
        <v>55040</v>
      </c>
      <c r="G746" s="6">
        <v>55347</v>
      </c>
      <c r="H746" s="6">
        <v>55381</v>
      </c>
      <c r="I746" s="1" t="str">
        <f t="shared" si="22"/>
        <v xml:space="preserve"> Massachusetts</v>
      </c>
      <c r="J746" s="1" t="str">
        <f t="shared" si="23"/>
        <v>Chicopee city</v>
      </c>
      <c r="K746" s="1">
        <f>IF(COUNTIF($I$5:I746,I746)=1,1,0)</f>
        <v>0</v>
      </c>
    </row>
    <row r="747" spans="1:11" x14ac:dyDescent="0.2">
      <c r="A747" s="9">
        <v>743</v>
      </c>
      <c r="B747" s="5" t="s">
        <v>742</v>
      </c>
      <c r="C747" s="6">
        <v>55580</v>
      </c>
      <c r="D747" s="6">
        <v>55553</v>
      </c>
      <c r="E747" s="6">
        <v>55303</v>
      </c>
      <c r="F747" s="6">
        <v>55297</v>
      </c>
      <c r="G747" s="6">
        <v>55245</v>
      </c>
      <c r="H747" s="6">
        <v>55379</v>
      </c>
      <c r="I747" s="1" t="str">
        <f t="shared" si="22"/>
        <v xml:space="preserve"> Connecticut</v>
      </c>
      <c r="J747" s="1" t="str">
        <f t="shared" si="23"/>
        <v>West Haven city</v>
      </c>
      <c r="K747" s="1">
        <f>IF(COUNTIF($I$5:I747,I747)=1,1,0)</f>
        <v>0</v>
      </c>
    </row>
    <row r="748" spans="1:11" x14ac:dyDescent="0.2">
      <c r="A748" s="9">
        <v>744</v>
      </c>
      <c r="B748" s="5" t="s">
        <v>743</v>
      </c>
      <c r="C748" s="6">
        <v>56367</v>
      </c>
      <c r="D748" s="6">
        <v>56273</v>
      </c>
      <c r="E748" s="6">
        <v>55873</v>
      </c>
      <c r="F748" s="6">
        <v>55516</v>
      </c>
      <c r="G748" s="6">
        <v>55482</v>
      </c>
      <c r="H748" s="6">
        <v>55272</v>
      </c>
      <c r="I748" s="1" t="str">
        <f t="shared" si="22"/>
        <v xml:space="preserve"> Minnesota</v>
      </c>
      <c r="J748" s="1" t="str">
        <f t="shared" si="23"/>
        <v>Apple Valley city</v>
      </c>
      <c r="K748" s="1">
        <f>IF(COUNTIF($I$5:I748,I748)=1,1,0)</f>
        <v>0</v>
      </c>
    </row>
    <row r="749" spans="1:11" x14ac:dyDescent="0.2">
      <c r="A749" s="9">
        <v>745</v>
      </c>
      <c r="B749" s="5" t="s">
        <v>744</v>
      </c>
      <c r="C749" s="6">
        <v>57233</v>
      </c>
      <c r="D749" s="6">
        <v>56996</v>
      </c>
      <c r="E749" s="6">
        <v>55885</v>
      </c>
      <c r="F749" s="6">
        <v>55101</v>
      </c>
      <c r="G749" s="6">
        <v>54857</v>
      </c>
      <c r="H749" s="6">
        <v>55152</v>
      </c>
      <c r="I749" s="1" t="str">
        <f t="shared" si="22"/>
        <v xml:space="preserve"> Illinois</v>
      </c>
      <c r="J749" s="1" t="str">
        <f t="shared" si="23"/>
        <v>Berwyn city</v>
      </c>
      <c r="K749" s="1">
        <f>IF(COUNTIF($I$5:I749,I749)=1,1,0)</f>
        <v>0</v>
      </c>
    </row>
    <row r="750" spans="1:11" x14ac:dyDescent="0.2">
      <c r="A750" s="9">
        <v>746</v>
      </c>
      <c r="B750" s="5" t="s">
        <v>745</v>
      </c>
      <c r="C750" s="6">
        <v>56004</v>
      </c>
      <c r="D750" s="6">
        <v>55828</v>
      </c>
      <c r="E750" s="6">
        <v>54955</v>
      </c>
      <c r="F750" s="6">
        <v>54370</v>
      </c>
      <c r="G750" s="6">
        <v>54288</v>
      </c>
      <c r="H750" s="6">
        <v>54856</v>
      </c>
      <c r="I750" s="1" t="str">
        <f t="shared" si="22"/>
        <v xml:space="preserve"> Illinois</v>
      </c>
      <c r="J750" s="1" t="str">
        <f t="shared" si="23"/>
        <v>Tinley Park village</v>
      </c>
      <c r="K750" s="1">
        <f>IF(COUNTIF($I$5:I750,I750)=1,1,0)</f>
        <v>0</v>
      </c>
    </row>
    <row r="751" spans="1:11" x14ac:dyDescent="0.2">
      <c r="A751" s="9">
        <v>747</v>
      </c>
      <c r="B751" s="5" t="s">
        <v>746</v>
      </c>
      <c r="C751" s="6">
        <v>54295</v>
      </c>
      <c r="D751" s="6">
        <v>54266</v>
      </c>
      <c r="E751" s="6">
        <v>54193</v>
      </c>
      <c r="F751" s="6">
        <v>54118</v>
      </c>
      <c r="G751" s="6">
        <v>54246</v>
      </c>
      <c r="H751" s="6">
        <v>54768</v>
      </c>
      <c r="I751" s="1" t="str">
        <f t="shared" si="22"/>
        <v xml:space="preserve"> Michigan</v>
      </c>
      <c r="J751" s="1" t="str">
        <f t="shared" si="23"/>
        <v>Kentwood city</v>
      </c>
      <c r="K751" s="1">
        <f>IF(COUNTIF($I$5:I751,I751)=1,1,0)</f>
        <v>0</v>
      </c>
    </row>
    <row r="752" spans="1:11" x14ac:dyDescent="0.2">
      <c r="A752" s="9">
        <v>748</v>
      </c>
      <c r="B752" s="5" t="s">
        <v>747</v>
      </c>
      <c r="C752" s="6">
        <v>54104</v>
      </c>
      <c r="D752" s="6">
        <v>54151</v>
      </c>
      <c r="E752" s="6">
        <v>54422</v>
      </c>
      <c r="F752" s="6">
        <v>53844</v>
      </c>
      <c r="G752" s="6">
        <v>54016</v>
      </c>
      <c r="H752" s="6">
        <v>54700</v>
      </c>
      <c r="I752" s="1" t="str">
        <f t="shared" si="22"/>
        <v xml:space="preserve"> Kansas</v>
      </c>
      <c r="J752" s="1" t="str">
        <f t="shared" si="23"/>
        <v>Manhattan city</v>
      </c>
      <c r="K752" s="1">
        <f>IF(COUNTIF($I$5:I752,I752)=1,1,0)</f>
        <v>0</v>
      </c>
    </row>
    <row r="753" spans="1:11" x14ac:dyDescent="0.2">
      <c r="A753" s="9">
        <v>749</v>
      </c>
      <c r="B753" s="5" t="s">
        <v>748</v>
      </c>
      <c r="C753" s="6">
        <v>16699</v>
      </c>
      <c r="D753" s="6">
        <v>17617</v>
      </c>
      <c r="E753" s="6">
        <v>24968</v>
      </c>
      <c r="F753" s="6">
        <v>34074</v>
      </c>
      <c r="G753" s="6">
        <v>43033</v>
      </c>
      <c r="H753" s="6">
        <v>54629</v>
      </c>
      <c r="I753" s="1" t="str">
        <f t="shared" si="22"/>
        <v xml:space="preserve"> Texas</v>
      </c>
      <c r="J753" s="1" t="str">
        <f t="shared" si="23"/>
        <v>Fulshear city</v>
      </c>
      <c r="K753" s="1">
        <f>IF(COUNTIF($I$5:I753,I753)=1,1,0)</f>
        <v>0</v>
      </c>
    </row>
    <row r="754" spans="1:11" x14ac:dyDescent="0.2">
      <c r="A754" s="9">
        <v>750</v>
      </c>
      <c r="B754" s="5" t="s">
        <v>749</v>
      </c>
      <c r="C754" s="6">
        <v>54394</v>
      </c>
      <c r="D754" s="6">
        <v>54382</v>
      </c>
      <c r="E754" s="6">
        <v>53996</v>
      </c>
      <c r="F754" s="6">
        <v>54196</v>
      </c>
      <c r="G754" s="6">
        <v>54388</v>
      </c>
      <c r="H754" s="6">
        <v>54541</v>
      </c>
      <c r="I754" s="1" t="str">
        <f t="shared" si="22"/>
        <v xml:space="preserve"> North Carolina</v>
      </c>
      <c r="J754" s="1" t="str">
        <f t="shared" si="23"/>
        <v>Rocky Mount city</v>
      </c>
      <c r="K754" s="1">
        <f>IF(COUNTIF($I$5:I754,I754)=1,1,0)</f>
        <v>0</v>
      </c>
    </row>
    <row r="755" spans="1:11" x14ac:dyDescent="0.2">
      <c r="A755" s="9">
        <v>751</v>
      </c>
      <c r="B755" s="5" t="s">
        <v>750</v>
      </c>
      <c r="C755" s="6">
        <v>56673</v>
      </c>
      <c r="D755" s="6">
        <v>56513</v>
      </c>
      <c r="E755" s="6">
        <v>55468</v>
      </c>
      <c r="F755" s="6">
        <v>54921</v>
      </c>
      <c r="G755" s="6">
        <v>54559</v>
      </c>
      <c r="H755" s="6">
        <v>54472</v>
      </c>
      <c r="I755" s="1" t="str">
        <f t="shared" si="22"/>
        <v xml:space="preserve"> California</v>
      </c>
      <c r="J755" s="1" t="str">
        <f t="shared" si="23"/>
        <v>Arcadia city</v>
      </c>
      <c r="K755" s="1">
        <f>IF(COUNTIF($I$5:I755,I755)=1,1,0)</f>
        <v>0</v>
      </c>
    </row>
    <row r="756" spans="1:11" x14ac:dyDescent="0.2">
      <c r="A756" s="9">
        <v>752</v>
      </c>
      <c r="B756" s="5" t="s">
        <v>751</v>
      </c>
      <c r="C756" s="6">
        <v>54551</v>
      </c>
      <c r="D756" s="6">
        <v>54607</v>
      </c>
      <c r="E756" s="6">
        <v>54610</v>
      </c>
      <c r="F756" s="6">
        <v>54313</v>
      </c>
      <c r="G756" s="6">
        <v>54238</v>
      </c>
      <c r="H756" s="6">
        <v>54465</v>
      </c>
      <c r="I756" s="1" t="str">
        <f t="shared" si="22"/>
        <v xml:space="preserve"> California</v>
      </c>
      <c r="J756" s="1" t="str">
        <f t="shared" si="23"/>
        <v>Yucaipa city</v>
      </c>
      <c r="K756" s="1">
        <f>IF(COUNTIF($I$5:I756,I756)=1,1,0)</f>
        <v>0</v>
      </c>
    </row>
    <row r="757" spans="1:11" x14ac:dyDescent="0.2">
      <c r="A757" s="9">
        <v>753</v>
      </c>
      <c r="B757" s="5" t="s">
        <v>752</v>
      </c>
      <c r="C757" s="6">
        <v>53019</v>
      </c>
      <c r="D757" s="6">
        <v>52974</v>
      </c>
      <c r="E757" s="6">
        <v>52907</v>
      </c>
      <c r="F757" s="6">
        <v>53441</v>
      </c>
      <c r="G757" s="6">
        <v>53756</v>
      </c>
      <c r="H757" s="6">
        <v>54272</v>
      </c>
      <c r="I757" s="1" t="str">
        <f t="shared" si="22"/>
        <v xml:space="preserve"> Massachusetts</v>
      </c>
      <c r="J757" s="1" t="str">
        <f t="shared" si="23"/>
        <v>Methuen city</v>
      </c>
      <c r="K757" s="1">
        <f>IF(COUNTIF($I$5:I757,I757)=1,1,0)</f>
        <v>0</v>
      </c>
    </row>
    <row r="758" spans="1:11" x14ac:dyDescent="0.2">
      <c r="A758" s="9">
        <v>754</v>
      </c>
      <c r="B758" s="5" t="s">
        <v>753</v>
      </c>
      <c r="C758" s="6">
        <v>54319</v>
      </c>
      <c r="D758" s="6">
        <v>54481</v>
      </c>
      <c r="E758" s="6">
        <v>53982</v>
      </c>
      <c r="F758" s="6">
        <v>53991</v>
      </c>
      <c r="G758" s="6">
        <v>53840</v>
      </c>
      <c r="H758" s="6">
        <v>53898</v>
      </c>
      <c r="I758" s="1" t="str">
        <f t="shared" si="22"/>
        <v xml:space="preserve"> Florida</v>
      </c>
      <c r="J758" s="1" t="str">
        <f t="shared" si="23"/>
        <v>Pensacola city</v>
      </c>
      <c r="K758" s="1">
        <f>IF(COUNTIF($I$5:I758,I758)=1,1,0)</f>
        <v>0</v>
      </c>
    </row>
    <row r="759" spans="1:11" x14ac:dyDescent="0.2">
      <c r="A759" s="9">
        <v>755</v>
      </c>
      <c r="B759" s="5" t="s">
        <v>754</v>
      </c>
      <c r="C759" s="6">
        <v>54012</v>
      </c>
      <c r="D759" s="6">
        <v>53899</v>
      </c>
      <c r="E759" s="6">
        <v>53528</v>
      </c>
      <c r="F759" s="6">
        <v>53254</v>
      </c>
      <c r="G759" s="6">
        <v>53401</v>
      </c>
      <c r="H759" s="6">
        <v>53741</v>
      </c>
      <c r="I759" s="1" t="str">
        <f t="shared" si="22"/>
        <v xml:space="preserve"> Illinois</v>
      </c>
      <c r="J759" s="1" t="str">
        <f t="shared" si="23"/>
        <v>Wheaton city</v>
      </c>
      <c r="K759" s="1">
        <f>IF(COUNTIF($I$5:I759,I759)=1,1,0)</f>
        <v>0</v>
      </c>
    </row>
    <row r="760" spans="1:11" x14ac:dyDescent="0.2">
      <c r="A760" s="9">
        <v>756</v>
      </c>
      <c r="B760" s="5" t="s">
        <v>755</v>
      </c>
      <c r="C760" s="6">
        <v>53937</v>
      </c>
      <c r="D760" s="6">
        <v>53890</v>
      </c>
      <c r="E760" s="6">
        <v>53908</v>
      </c>
      <c r="F760" s="6">
        <v>53913</v>
      </c>
      <c r="G760" s="6">
        <v>53673</v>
      </c>
      <c r="H760" s="6">
        <v>53690</v>
      </c>
      <c r="I760" s="1" t="str">
        <f t="shared" si="22"/>
        <v xml:space="preserve"> Indiana</v>
      </c>
      <c r="J760" s="1" t="str">
        <f t="shared" si="23"/>
        <v>Elkhart city</v>
      </c>
      <c r="K760" s="1">
        <f>IF(COUNTIF($I$5:I760,I760)=1,1,0)</f>
        <v>0</v>
      </c>
    </row>
    <row r="761" spans="1:11" x14ac:dyDescent="0.2">
      <c r="A761" s="9">
        <v>757</v>
      </c>
      <c r="B761" s="5" t="s">
        <v>756</v>
      </c>
      <c r="C761" s="6">
        <v>51768</v>
      </c>
      <c r="D761" s="6">
        <v>51811</v>
      </c>
      <c r="E761" s="6">
        <v>51957</v>
      </c>
      <c r="F761" s="6">
        <v>52484</v>
      </c>
      <c r="G761" s="6">
        <v>53131</v>
      </c>
      <c r="H761" s="6">
        <v>53605</v>
      </c>
      <c r="I761" s="1" t="str">
        <f t="shared" si="22"/>
        <v xml:space="preserve"> Missouri</v>
      </c>
      <c r="J761" s="1" t="str">
        <f t="shared" si="23"/>
        <v>Joplin city</v>
      </c>
      <c r="K761" s="1">
        <f>IF(COUNTIF($I$5:I761,I761)=1,1,0)</f>
        <v>0</v>
      </c>
    </row>
    <row r="762" spans="1:11" x14ac:dyDescent="0.2">
      <c r="A762" s="9">
        <v>758</v>
      </c>
      <c r="B762" s="5" t="s">
        <v>757</v>
      </c>
      <c r="C762" s="6">
        <v>52668</v>
      </c>
      <c r="D762" s="6">
        <v>52686</v>
      </c>
      <c r="E762" s="6">
        <v>52805</v>
      </c>
      <c r="F762" s="6">
        <v>52900</v>
      </c>
      <c r="G762" s="6">
        <v>53181</v>
      </c>
      <c r="H762" s="6">
        <v>53604</v>
      </c>
      <c r="I762" s="1" t="str">
        <f t="shared" si="22"/>
        <v xml:space="preserve"> Ohio</v>
      </c>
      <c r="J762" s="1" t="str">
        <f t="shared" si="23"/>
        <v>Elyria city</v>
      </c>
      <c r="K762" s="1">
        <f>IF(COUNTIF($I$5:I762,I762)=1,1,0)</f>
        <v>0</v>
      </c>
    </row>
    <row r="763" spans="1:11" x14ac:dyDescent="0.2">
      <c r="A763" s="9">
        <v>759</v>
      </c>
      <c r="B763" s="5" t="s">
        <v>758</v>
      </c>
      <c r="C763" s="6">
        <v>53480</v>
      </c>
      <c r="D763" s="6">
        <v>53368</v>
      </c>
      <c r="E763" s="6">
        <v>53341</v>
      </c>
      <c r="F763" s="6">
        <v>52517</v>
      </c>
      <c r="G763" s="6">
        <v>53533</v>
      </c>
      <c r="H763" s="6">
        <v>53564</v>
      </c>
      <c r="I763" s="1" t="str">
        <f t="shared" si="22"/>
        <v xml:space="preserve"> Minnesota</v>
      </c>
      <c r="J763" s="1" t="str">
        <f t="shared" si="23"/>
        <v>Edina city</v>
      </c>
      <c r="K763" s="1">
        <f>IF(COUNTIF($I$5:I763,I763)=1,1,0)</f>
        <v>0</v>
      </c>
    </row>
    <row r="764" spans="1:11" x14ac:dyDescent="0.2">
      <c r="A764" s="9">
        <v>760</v>
      </c>
      <c r="B764" s="5" t="s">
        <v>759</v>
      </c>
      <c r="C764" s="6">
        <v>47314</v>
      </c>
      <c r="D764" s="6">
        <v>47748</v>
      </c>
      <c r="E764" s="6">
        <v>49804</v>
      </c>
      <c r="F764" s="6">
        <v>51653</v>
      </c>
      <c r="G764" s="6">
        <v>53077</v>
      </c>
      <c r="H764" s="6">
        <v>53547</v>
      </c>
      <c r="I764" s="1" t="str">
        <f t="shared" si="22"/>
        <v xml:space="preserve"> Texas</v>
      </c>
      <c r="J764" s="1" t="str">
        <f t="shared" si="23"/>
        <v>Rockwall city</v>
      </c>
      <c r="K764" s="1">
        <f>IF(COUNTIF($I$5:I764,I764)=1,1,0)</f>
        <v>0</v>
      </c>
    </row>
    <row r="765" spans="1:11" x14ac:dyDescent="0.2">
      <c r="A765" s="9">
        <v>761</v>
      </c>
      <c r="B765" s="5" t="s">
        <v>760</v>
      </c>
      <c r="C765" s="6">
        <v>53695</v>
      </c>
      <c r="D765" s="6">
        <v>53652</v>
      </c>
      <c r="E765" s="6">
        <v>53390</v>
      </c>
      <c r="F765" s="6">
        <v>53179</v>
      </c>
      <c r="G765" s="6">
        <v>53371</v>
      </c>
      <c r="H765" s="6">
        <v>53538</v>
      </c>
      <c r="I765" s="1" t="str">
        <f t="shared" si="22"/>
        <v xml:space="preserve"> Texas</v>
      </c>
      <c r="J765" s="1" t="str">
        <f t="shared" si="23"/>
        <v>Galveston city</v>
      </c>
      <c r="K765" s="1">
        <f>IF(COUNTIF($I$5:I765,I765)=1,1,0)</f>
        <v>0</v>
      </c>
    </row>
    <row r="766" spans="1:11" x14ac:dyDescent="0.2">
      <c r="A766" s="9">
        <v>762</v>
      </c>
      <c r="B766" s="5" t="s">
        <v>761</v>
      </c>
      <c r="C766" s="6">
        <v>53889</v>
      </c>
      <c r="D766" s="6">
        <v>53974</v>
      </c>
      <c r="E766" s="6">
        <v>54083</v>
      </c>
      <c r="F766" s="6">
        <v>53787</v>
      </c>
      <c r="G766" s="6">
        <v>53528</v>
      </c>
      <c r="H766" s="6">
        <v>53528</v>
      </c>
      <c r="I766" s="1" t="str">
        <f t="shared" si="22"/>
        <v xml:space="preserve"> California</v>
      </c>
      <c r="J766" s="1" t="str">
        <f t="shared" si="23"/>
        <v>Colton city</v>
      </c>
      <c r="K766" s="1">
        <f>IF(COUNTIF($I$5:I766,I766)=1,1,0)</f>
        <v>0</v>
      </c>
    </row>
    <row r="767" spans="1:11" x14ac:dyDescent="0.2">
      <c r="A767" s="9">
        <v>763</v>
      </c>
      <c r="B767" s="5" t="s">
        <v>762</v>
      </c>
      <c r="C767" s="6">
        <v>53110</v>
      </c>
      <c r="D767" s="6">
        <v>53393</v>
      </c>
      <c r="E767" s="6">
        <v>53332</v>
      </c>
      <c r="F767" s="6">
        <v>53808</v>
      </c>
      <c r="G767" s="6">
        <v>53789</v>
      </c>
      <c r="H767" s="6">
        <v>53503</v>
      </c>
      <c r="I767" s="1" t="str">
        <f t="shared" si="22"/>
        <v xml:space="preserve"> Florida</v>
      </c>
      <c r="J767" s="1" t="str">
        <f t="shared" si="23"/>
        <v>Pinellas Park city</v>
      </c>
      <c r="K767" s="1">
        <f>IF(COUNTIF($I$5:I767,I767)=1,1,0)</f>
        <v>0</v>
      </c>
    </row>
    <row r="768" spans="1:11" x14ac:dyDescent="0.2">
      <c r="A768" s="9">
        <v>764</v>
      </c>
      <c r="B768" s="5" t="s">
        <v>763</v>
      </c>
      <c r="C768" s="6">
        <v>52726</v>
      </c>
      <c r="D768" s="6">
        <v>52666</v>
      </c>
      <c r="E768" s="6">
        <v>52203</v>
      </c>
      <c r="F768" s="6">
        <v>52679</v>
      </c>
      <c r="G768" s="6">
        <v>53238</v>
      </c>
      <c r="H768" s="6">
        <v>53395</v>
      </c>
      <c r="I768" s="1" t="str">
        <f t="shared" si="22"/>
        <v xml:space="preserve"> California</v>
      </c>
      <c r="J768" s="1" t="str">
        <f t="shared" si="23"/>
        <v>Placentia city</v>
      </c>
      <c r="K768" s="1">
        <f>IF(COUNTIF($I$5:I768,I768)=1,1,0)</f>
        <v>0</v>
      </c>
    </row>
    <row r="769" spans="1:11" x14ac:dyDescent="0.2">
      <c r="A769" s="9">
        <v>765</v>
      </c>
      <c r="B769" s="5" t="s">
        <v>764</v>
      </c>
      <c r="C769" s="6">
        <v>53017</v>
      </c>
      <c r="D769" s="6">
        <v>53024</v>
      </c>
      <c r="E769" s="6">
        <v>53081</v>
      </c>
      <c r="F769" s="6">
        <v>53157</v>
      </c>
      <c r="G769" s="6">
        <v>53114</v>
      </c>
      <c r="H769" s="6">
        <v>53304</v>
      </c>
      <c r="I769" s="1" t="str">
        <f t="shared" si="22"/>
        <v xml:space="preserve"> Illinois</v>
      </c>
      <c r="J769" s="1" t="str">
        <f t="shared" si="23"/>
        <v>Normal town</v>
      </c>
      <c r="K769" s="1">
        <f>IF(COUNTIF($I$5:I769,I769)=1,1,0)</f>
        <v>0</v>
      </c>
    </row>
    <row r="770" spans="1:11" x14ac:dyDescent="0.2">
      <c r="A770" s="9">
        <v>766</v>
      </c>
      <c r="B770" s="5" t="s">
        <v>765</v>
      </c>
      <c r="C770" s="6">
        <v>53134</v>
      </c>
      <c r="D770" s="6">
        <v>53028</v>
      </c>
      <c r="E770" s="6">
        <v>52465</v>
      </c>
      <c r="F770" s="6">
        <v>52673</v>
      </c>
      <c r="G770" s="6">
        <v>53000</v>
      </c>
      <c r="H770" s="6">
        <v>53250</v>
      </c>
      <c r="I770" s="1" t="str">
        <f t="shared" si="22"/>
        <v xml:space="preserve"> Nebraska</v>
      </c>
      <c r="J770" s="1" t="str">
        <f t="shared" si="23"/>
        <v>Grand Island city</v>
      </c>
      <c r="K770" s="1">
        <f>IF(COUNTIF($I$5:I770,I770)=1,1,0)</f>
        <v>0</v>
      </c>
    </row>
    <row r="771" spans="1:11" x14ac:dyDescent="0.2">
      <c r="A771" s="9">
        <v>767</v>
      </c>
      <c r="B771" s="5" t="s">
        <v>766</v>
      </c>
      <c r="C771" s="6">
        <v>51424</v>
      </c>
      <c r="D771" s="6">
        <v>49893</v>
      </c>
      <c r="E771" s="6">
        <v>50841</v>
      </c>
      <c r="F771" s="6">
        <v>52124</v>
      </c>
      <c r="G771" s="6">
        <v>52319</v>
      </c>
      <c r="H771" s="6">
        <v>53198</v>
      </c>
      <c r="I771" s="1" t="str">
        <f t="shared" si="22"/>
        <v xml:space="preserve"> California</v>
      </c>
      <c r="J771" s="1" t="str">
        <f t="shared" si="23"/>
        <v>Delano city</v>
      </c>
      <c r="K771" s="1">
        <f>IF(COUNTIF($I$5:I771,I771)=1,1,0)</f>
        <v>0</v>
      </c>
    </row>
    <row r="772" spans="1:11" x14ac:dyDescent="0.2">
      <c r="A772" s="9">
        <v>768</v>
      </c>
      <c r="B772" s="5" t="s">
        <v>767</v>
      </c>
      <c r="C772" s="6">
        <v>51165</v>
      </c>
      <c r="D772" s="6">
        <v>51196</v>
      </c>
      <c r="E772" s="6">
        <v>51542</v>
      </c>
      <c r="F772" s="6">
        <v>51787</v>
      </c>
      <c r="G772" s="6">
        <v>52284</v>
      </c>
      <c r="H772" s="6">
        <v>53147</v>
      </c>
      <c r="I772" s="1" t="str">
        <f t="shared" si="22"/>
        <v xml:space="preserve"> California</v>
      </c>
      <c r="J772" s="1" t="str">
        <f t="shared" si="23"/>
        <v>Palm Desert city</v>
      </c>
      <c r="K772" s="1">
        <f>IF(COUNTIF($I$5:I772,I772)=1,1,0)</f>
        <v>0</v>
      </c>
    </row>
    <row r="773" spans="1:11" x14ac:dyDescent="0.2">
      <c r="A773" s="9">
        <v>769</v>
      </c>
      <c r="B773" s="5" t="s">
        <v>768</v>
      </c>
      <c r="C773" s="6">
        <v>52835</v>
      </c>
      <c r="D773" s="6">
        <v>52475</v>
      </c>
      <c r="E773" s="6">
        <v>51648</v>
      </c>
      <c r="F773" s="6">
        <v>51118</v>
      </c>
      <c r="G773" s="6">
        <v>51836</v>
      </c>
      <c r="H773" s="6">
        <v>52975</v>
      </c>
      <c r="I773" s="1" t="str">
        <f t="shared" si="22"/>
        <v xml:space="preserve"> New Jersey</v>
      </c>
      <c r="J773" s="1" t="str">
        <f t="shared" si="23"/>
        <v>West New York town</v>
      </c>
      <c r="K773" s="1">
        <f>IF(COUNTIF($I$5:I773,I773)=1,1,0)</f>
        <v>0</v>
      </c>
    </row>
    <row r="774" spans="1:11" x14ac:dyDescent="0.2">
      <c r="A774" s="9">
        <v>770</v>
      </c>
      <c r="B774" s="5" t="s">
        <v>769</v>
      </c>
      <c r="C774" s="6">
        <v>54773</v>
      </c>
      <c r="D774" s="6">
        <v>54574</v>
      </c>
      <c r="E774" s="6">
        <v>53506</v>
      </c>
      <c r="F774" s="6">
        <v>52816</v>
      </c>
      <c r="G774" s="6">
        <v>52672</v>
      </c>
      <c r="H774" s="6">
        <v>52947</v>
      </c>
      <c r="I774" s="1" t="str">
        <f t="shared" ref="I774:I837" si="24">_xlfn.TEXTAFTER(B774,",")</f>
        <v xml:space="preserve"> Illinois</v>
      </c>
      <c r="J774" s="1" t="str">
        <f t="shared" ref="J774:J837" si="25">_xlfn.TEXTBEFORE(B774,", ")</f>
        <v>Oak Park village</v>
      </c>
      <c r="K774" s="1">
        <f>IF(COUNTIF($I$5:I774,I774)=1,1,0)</f>
        <v>0</v>
      </c>
    </row>
    <row r="775" spans="1:11" x14ac:dyDescent="0.2">
      <c r="A775" s="9">
        <v>771</v>
      </c>
      <c r="B775" s="5" t="s">
        <v>770</v>
      </c>
      <c r="C775" s="6">
        <v>49456</v>
      </c>
      <c r="D775" s="6">
        <v>49573</v>
      </c>
      <c r="E775" s="6">
        <v>50436</v>
      </c>
      <c r="F775" s="6">
        <v>51072</v>
      </c>
      <c r="G775" s="6">
        <v>51346</v>
      </c>
      <c r="H775" s="6">
        <v>52912</v>
      </c>
      <c r="I775" s="1" t="str">
        <f t="shared" si="24"/>
        <v xml:space="preserve"> Indiana</v>
      </c>
      <c r="J775" s="1" t="str">
        <f t="shared" si="25"/>
        <v>Jeffersonville city</v>
      </c>
      <c r="K775" s="1">
        <f>IF(COUNTIF($I$5:I775,I775)=1,1,0)</f>
        <v>0</v>
      </c>
    </row>
    <row r="776" spans="1:11" x14ac:dyDescent="0.2">
      <c r="A776" s="9">
        <v>772</v>
      </c>
      <c r="B776" s="5" t="s">
        <v>771</v>
      </c>
      <c r="C776" s="6">
        <v>50295</v>
      </c>
      <c r="D776" s="6">
        <v>50562</v>
      </c>
      <c r="E776" s="6">
        <v>51752</v>
      </c>
      <c r="F776" s="6">
        <v>52784</v>
      </c>
      <c r="G776" s="6">
        <v>53891</v>
      </c>
      <c r="H776" s="6">
        <v>52884</v>
      </c>
      <c r="I776" s="1" t="str">
        <f t="shared" si="24"/>
        <v xml:space="preserve"> North Carolina</v>
      </c>
      <c r="J776" s="1" t="str">
        <f t="shared" si="25"/>
        <v>Mooresville town</v>
      </c>
      <c r="K776" s="1">
        <f>IF(COUNTIF($I$5:I776,I776)=1,1,0)</f>
        <v>0</v>
      </c>
    </row>
    <row r="777" spans="1:11" x14ac:dyDescent="0.2">
      <c r="A777" s="9">
        <v>773</v>
      </c>
      <c r="B777" s="5" t="s">
        <v>772</v>
      </c>
      <c r="C777" s="6">
        <v>53812</v>
      </c>
      <c r="D777" s="6">
        <v>54107</v>
      </c>
      <c r="E777" s="6">
        <v>53237</v>
      </c>
      <c r="F777" s="6">
        <v>52657</v>
      </c>
      <c r="G777" s="6">
        <v>52678</v>
      </c>
      <c r="H777" s="6">
        <v>52651</v>
      </c>
      <c r="I777" s="1" t="str">
        <f t="shared" si="24"/>
        <v xml:space="preserve"> Minnesota</v>
      </c>
      <c r="J777" s="1" t="str">
        <f t="shared" si="25"/>
        <v>Minnetonka city</v>
      </c>
      <c r="K777" s="1">
        <f>IF(COUNTIF($I$5:I777,I777)=1,1,0)</f>
        <v>0</v>
      </c>
    </row>
    <row r="778" spans="1:11" x14ac:dyDescent="0.2">
      <c r="A778" s="9">
        <v>774</v>
      </c>
      <c r="B778" s="5" t="s">
        <v>773</v>
      </c>
      <c r="C778" s="6">
        <v>50841</v>
      </c>
      <c r="D778" s="6">
        <v>50957</v>
      </c>
      <c r="E778" s="6">
        <v>51239</v>
      </c>
      <c r="F778" s="6">
        <v>51560</v>
      </c>
      <c r="G778" s="6">
        <v>51818</v>
      </c>
      <c r="H778" s="6">
        <v>52625</v>
      </c>
      <c r="I778" s="1" t="str">
        <f t="shared" si="24"/>
        <v xml:space="preserve"> South Carolina</v>
      </c>
      <c r="J778" s="1" t="str">
        <f t="shared" si="25"/>
        <v>Summerville town</v>
      </c>
      <c r="K778" s="1">
        <f>IF(COUNTIF($I$5:I778,I778)=1,1,0)</f>
        <v>0</v>
      </c>
    </row>
    <row r="779" spans="1:11" x14ac:dyDescent="0.2">
      <c r="A779" s="9">
        <v>775</v>
      </c>
      <c r="B779" s="5" t="s">
        <v>774</v>
      </c>
      <c r="C779" s="6">
        <v>51501</v>
      </c>
      <c r="D779" s="6">
        <v>51629</v>
      </c>
      <c r="E779" s="6">
        <v>52280</v>
      </c>
      <c r="F779" s="6">
        <v>52407</v>
      </c>
      <c r="G779" s="6">
        <v>52438</v>
      </c>
      <c r="H779" s="6">
        <v>52517</v>
      </c>
      <c r="I779" s="1" t="str">
        <f t="shared" si="24"/>
        <v xml:space="preserve"> California</v>
      </c>
      <c r="J779" s="1" t="str">
        <f t="shared" si="25"/>
        <v>Cathedral City city</v>
      </c>
      <c r="K779" s="1">
        <f>IF(COUNTIF($I$5:I779,I779)=1,1,0)</f>
        <v>0</v>
      </c>
    </row>
    <row r="780" spans="1:11" x14ac:dyDescent="0.2">
      <c r="A780" s="9">
        <v>776</v>
      </c>
      <c r="B780" s="5" t="s">
        <v>775</v>
      </c>
      <c r="C780" s="6">
        <v>44453</v>
      </c>
      <c r="D780" s="6">
        <v>44825</v>
      </c>
      <c r="E780" s="6">
        <v>46726</v>
      </c>
      <c r="F780" s="6">
        <v>48220</v>
      </c>
      <c r="G780" s="6">
        <v>50413</v>
      </c>
      <c r="H780" s="6">
        <v>52489</v>
      </c>
      <c r="I780" s="1" t="str">
        <f t="shared" si="24"/>
        <v xml:space="preserve"> Tennessee</v>
      </c>
      <c r="J780" s="1" t="str">
        <f t="shared" si="25"/>
        <v>Gallatin city</v>
      </c>
      <c r="K780" s="1">
        <f>IF(COUNTIF($I$5:I780,I780)=1,1,0)</f>
        <v>0</v>
      </c>
    </row>
    <row r="781" spans="1:11" x14ac:dyDescent="0.2">
      <c r="A781" s="9">
        <v>777</v>
      </c>
      <c r="B781" s="5" t="s">
        <v>776</v>
      </c>
      <c r="C781" s="6">
        <v>53210</v>
      </c>
      <c r="D781" s="6">
        <v>53146</v>
      </c>
      <c r="E781" s="6">
        <v>52987</v>
      </c>
      <c r="F781" s="6">
        <v>52366</v>
      </c>
      <c r="G781" s="6">
        <v>52017</v>
      </c>
      <c r="H781" s="6">
        <v>52311</v>
      </c>
      <c r="I781" s="1" t="str">
        <f t="shared" si="24"/>
        <v xml:space="preserve"> California</v>
      </c>
      <c r="J781" s="1" t="str">
        <f t="shared" si="25"/>
        <v>Novato city</v>
      </c>
      <c r="K781" s="1">
        <f>IF(COUNTIF($I$5:I781,I781)=1,1,0)</f>
        <v>0</v>
      </c>
    </row>
    <row r="782" spans="1:11" x14ac:dyDescent="0.2">
      <c r="A782" s="9">
        <v>778</v>
      </c>
      <c r="B782" s="5" t="s">
        <v>777</v>
      </c>
      <c r="C782" s="6">
        <v>55190</v>
      </c>
      <c r="D782" s="6">
        <v>55010</v>
      </c>
      <c r="E782" s="6">
        <v>53839</v>
      </c>
      <c r="F782" s="6">
        <v>53035</v>
      </c>
      <c r="G782" s="6">
        <v>52530</v>
      </c>
      <c r="H782" s="6">
        <v>52292</v>
      </c>
      <c r="I782" s="1" t="str">
        <f t="shared" si="24"/>
        <v xml:space="preserve"> California</v>
      </c>
      <c r="J782" s="1" t="str">
        <f t="shared" si="25"/>
        <v>Diamond Bar city</v>
      </c>
      <c r="K782" s="1">
        <f>IF(COUNTIF($I$5:I782,I782)=1,1,0)</f>
        <v>0</v>
      </c>
    </row>
    <row r="783" spans="1:11" x14ac:dyDescent="0.2">
      <c r="A783" s="9">
        <v>779</v>
      </c>
      <c r="B783" s="5" t="s">
        <v>778</v>
      </c>
      <c r="C783" s="6">
        <v>50986</v>
      </c>
      <c r="D783" s="6">
        <v>51023</v>
      </c>
      <c r="E783" s="6">
        <v>51109</v>
      </c>
      <c r="F783" s="6">
        <v>51394</v>
      </c>
      <c r="G783" s="6">
        <v>51882</v>
      </c>
      <c r="H783" s="6">
        <v>52291</v>
      </c>
      <c r="I783" s="1" t="str">
        <f t="shared" si="24"/>
        <v xml:space="preserve"> Ohio</v>
      </c>
      <c r="J783" s="1" t="str">
        <f t="shared" si="25"/>
        <v>Middletown city</v>
      </c>
      <c r="K783" s="1">
        <f>IF(COUNTIF($I$5:I783,I783)=1,1,0)</f>
        <v>0</v>
      </c>
    </row>
    <row r="784" spans="1:11" x14ac:dyDescent="0.2">
      <c r="A784" s="9">
        <v>780</v>
      </c>
      <c r="B784" s="5" t="s">
        <v>779</v>
      </c>
      <c r="C784" s="6">
        <v>52754</v>
      </c>
      <c r="D784" s="6">
        <v>52704</v>
      </c>
      <c r="E784" s="6">
        <v>52507</v>
      </c>
      <c r="F784" s="6">
        <v>52229</v>
      </c>
      <c r="G784" s="6">
        <v>52264</v>
      </c>
      <c r="H784" s="6">
        <v>52205</v>
      </c>
      <c r="I784" s="1" t="str">
        <f t="shared" si="24"/>
        <v xml:space="preserve"> Michigan</v>
      </c>
      <c r="J784" s="1" t="str">
        <f t="shared" si="25"/>
        <v>Battle Creek city</v>
      </c>
      <c r="K784" s="1">
        <f>IF(COUNTIF($I$5:I784,I784)=1,1,0)</f>
        <v>0</v>
      </c>
    </row>
    <row r="785" spans="1:11" x14ac:dyDescent="0.2">
      <c r="A785" s="9">
        <v>781</v>
      </c>
      <c r="B785" s="5" t="s">
        <v>780</v>
      </c>
      <c r="C785" s="6">
        <v>54885</v>
      </c>
      <c r="D785" s="6">
        <v>54703</v>
      </c>
      <c r="E785" s="6">
        <v>53523</v>
      </c>
      <c r="F785" s="6">
        <v>52768</v>
      </c>
      <c r="G785" s="6">
        <v>52333</v>
      </c>
      <c r="H785" s="6">
        <v>52166</v>
      </c>
      <c r="I785" s="1" t="str">
        <f t="shared" si="24"/>
        <v xml:space="preserve"> California</v>
      </c>
      <c r="J785" s="1" t="str">
        <f t="shared" si="25"/>
        <v>Huntington Park city</v>
      </c>
      <c r="K785" s="1">
        <f>IF(COUNTIF($I$5:I785,I785)=1,1,0)</f>
        <v>0</v>
      </c>
    </row>
    <row r="786" spans="1:11" x14ac:dyDescent="0.2">
      <c r="A786" s="9">
        <v>782</v>
      </c>
      <c r="B786" s="5" t="s">
        <v>781</v>
      </c>
      <c r="C786" s="6">
        <v>52072</v>
      </c>
      <c r="D786" s="6">
        <v>51996</v>
      </c>
      <c r="E786" s="6">
        <v>51140</v>
      </c>
      <c r="F786" s="6">
        <v>51045</v>
      </c>
      <c r="G786" s="6">
        <v>51346</v>
      </c>
      <c r="H786" s="6">
        <v>52046</v>
      </c>
      <c r="I786" s="1" t="str">
        <f t="shared" si="24"/>
        <v xml:space="preserve"> Washington</v>
      </c>
      <c r="J786" s="1" t="str">
        <f t="shared" si="25"/>
        <v>Burien city</v>
      </c>
      <c r="K786" s="1">
        <f>IF(COUNTIF($I$5:I786,I786)=1,1,0)</f>
        <v>0</v>
      </c>
    </row>
    <row r="787" spans="1:11" x14ac:dyDescent="0.2">
      <c r="A787" s="9">
        <v>783</v>
      </c>
      <c r="B787" s="5" t="s">
        <v>782</v>
      </c>
      <c r="C787" s="6">
        <v>50492</v>
      </c>
      <c r="D787" s="6">
        <v>50495</v>
      </c>
      <c r="E787" s="6">
        <v>50796</v>
      </c>
      <c r="F787" s="6">
        <v>51395</v>
      </c>
      <c r="G787" s="6">
        <v>51682</v>
      </c>
      <c r="H787" s="6">
        <v>51970</v>
      </c>
      <c r="I787" s="1" t="str">
        <f t="shared" si="24"/>
        <v xml:space="preserve"> Indiana</v>
      </c>
      <c r="J787" s="1" t="str">
        <f t="shared" si="25"/>
        <v>Columbus city</v>
      </c>
      <c r="K787" s="1">
        <f>IF(COUNTIF($I$5:I787,I787)=1,1,0)</f>
        <v>0</v>
      </c>
    </row>
    <row r="788" spans="1:11" x14ac:dyDescent="0.2">
      <c r="A788" s="9">
        <v>784</v>
      </c>
      <c r="B788" s="5" t="s">
        <v>783</v>
      </c>
      <c r="C788" s="6">
        <v>51325</v>
      </c>
      <c r="D788" s="6">
        <v>51332</v>
      </c>
      <c r="E788" s="6">
        <v>51254</v>
      </c>
      <c r="F788" s="6">
        <v>51461</v>
      </c>
      <c r="G788" s="6">
        <v>51535</v>
      </c>
      <c r="H788" s="6">
        <v>51951</v>
      </c>
      <c r="I788" s="1" t="str">
        <f t="shared" si="24"/>
        <v xml:space="preserve"> Tennessee</v>
      </c>
      <c r="J788" s="1" t="str">
        <f t="shared" si="25"/>
        <v>Collierville town</v>
      </c>
      <c r="K788" s="1">
        <f>IF(COUNTIF($I$5:I788,I788)=1,1,0)</f>
        <v>0</v>
      </c>
    </row>
    <row r="789" spans="1:11" x14ac:dyDescent="0.2">
      <c r="A789" s="9">
        <v>785</v>
      </c>
      <c r="B789" s="5" t="s">
        <v>784</v>
      </c>
      <c r="C789" s="6">
        <v>49078</v>
      </c>
      <c r="D789" s="6">
        <v>48957</v>
      </c>
      <c r="E789" s="6">
        <v>48724</v>
      </c>
      <c r="F789" s="6">
        <v>49883</v>
      </c>
      <c r="G789" s="6">
        <v>50848</v>
      </c>
      <c r="H789" s="6">
        <v>51825</v>
      </c>
      <c r="I789" s="1" t="str">
        <f t="shared" si="24"/>
        <v xml:space="preserve"> Massachusetts</v>
      </c>
      <c r="J789" s="1" t="str">
        <f t="shared" si="25"/>
        <v>Everett city</v>
      </c>
      <c r="K789" s="1">
        <f>IF(COUNTIF($I$5:I789,I789)=1,1,0)</f>
        <v>0</v>
      </c>
    </row>
    <row r="790" spans="1:11" x14ac:dyDescent="0.2">
      <c r="A790" s="9">
        <v>786</v>
      </c>
      <c r="B790" s="5" t="s">
        <v>785</v>
      </c>
      <c r="C790" s="6">
        <v>51645</v>
      </c>
      <c r="D790" s="6">
        <v>51596</v>
      </c>
      <c r="E790" s="6">
        <v>51003</v>
      </c>
      <c r="F790" s="6">
        <v>52263</v>
      </c>
      <c r="G790" s="6">
        <v>52010</v>
      </c>
      <c r="H790" s="6">
        <v>51795</v>
      </c>
      <c r="I790" s="1" t="str">
        <f t="shared" si="24"/>
        <v xml:space="preserve"> Georgia</v>
      </c>
      <c r="J790" s="1" t="str">
        <f t="shared" si="25"/>
        <v>Dunwoody city</v>
      </c>
      <c r="K790" s="1">
        <f>IF(COUNTIF($I$5:I790,I790)=1,1,0)</f>
        <v>0</v>
      </c>
    </row>
    <row r="791" spans="1:11" x14ac:dyDescent="0.2">
      <c r="A791" s="9">
        <v>787</v>
      </c>
      <c r="B791" s="5" t="s">
        <v>786</v>
      </c>
      <c r="C791" s="6">
        <v>48154</v>
      </c>
      <c r="D791" s="6">
        <v>48174</v>
      </c>
      <c r="E791" s="6">
        <v>48104</v>
      </c>
      <c r="F791" s="6">
        <v>49213</v>
      </c>
      <c r="G791" s="6">
        <v>50782</v>
      </c>
      <c r="H791" s="6">
        <v>51770</v>
      </c>
      <c r="I791" s="1" t="str">
        <f t="shared" si="24"/>
        <v xml:space="preserve"> Washington</v>
      </c>
      <c r="J791" s="1" t="str">
        <f t="shared" si="25"/>
        <v>Bothell city</v>
      </c>
      <c r="K791" s="1">
        <f>IF(COUNTIF($I$5:I791,I791)=1,1,0)</f>
        <v>0</v>
      </c>
    </row>
    <row r="792" spans="1:11" x14ac:dyDescent="0.2">
      <c r="A792" s="9">
        <v>788</v>
      </c>
      <c r="B792" s="5" t="s">
        <v>787</v>
      </c>
      <c r="C792" s="6">
        <v>16883</v>
      </c>
      <c r="D792" s="6">
        <v>17816</v>
      </c>
      <c r="E792" s="6">
        <v>23879</v>
      </c>
      <c r="F792" s="6">
        <v>34290</v>
      </c>
      <c r="G792" s="6">
        <v>43700</v>
      </c>
      <c r="H792" s="6">
        <v>51661</v>
      </c>
      <c r="I792" s="1" t="str">
        <f t="shared" si="24"/>
        <v xml:space="preserve"> Texas</v>
      </c>
      <c r="J792" s="1" t="str">
        <f t="shared" si="25"/>
        <v>Celina city</v>
      </c>
      <c r="K792" s="1">
        <f>IF(COUNTIF($I$5:I792,I792)=1,1,0)</f>
        <v>0</v>
      </c>
    </row>
    <row r="793" spans="1:11" x14ac:dyDescent="0.2">
      <c r="A793" s="9">
        <v>789</v>
      </c>
      <c r="B793" s="5" t="s">
        <v>788</v>
      </c>
      <c r="C793" s="6">
        <v>38486</v>
      </c>
      <c r="D793" s="6">
        <v>38894</v>
      </c>
      <c r="E793" s="6">
        <v>41019</v>
      </c>
      <c r="F793" s="6">
        <v>44276</v>
      </c>
      <c r="G793" s="6">
        <v>48290</v>
      </c>
      <c r="H793" s="6">
        <v>51501</v>
      </c>
      <c r="I793" s="1" t="str">
        <f t="shared" si="24"/>
        <v xml:space="preserve"> Tennessee</v>
      </c>
      <c r="J793" s="1" t="str">
        <f t="shared" si="25"/>
        <v>Lebanon city</v>
      </c>
      <c r="K793" s="1">
        <f>IF(COUNTIF($I$5:I793,I793)=1,1,0)</f>
        <v>0</v>
      </c>
    </row>
    <row r="794" spans="1:11" x14ac:dyDescent="0.2">
      <c r="A794" s="9">
        <v>790</v>
      </c>
      <c r="B794" s="5" t="s">
        <v>789</v>
      </c>
      <c r="C794" s="6">
        <v>46745</v>
      </c>
      <c r="D794" s="6">
        <v>46972</v>
      </c>
      <c r="E794" s="6">
        <v>48186</v>
      </c>
      <c r="F794" s="6">
        <v>49125</v>
      </c>
      <c r="G794" s="6">
        <v>50156</v>
      </c>
      <c r="H794" s="6">
        <v>51440</v>
      </c>
      <c r="I794" s="1" t="str">
        <f t="shared" si="24"/>
        <v xml:space="preserve"> Arizona</v>
      </c>
      <c r="J794" s="1" t="str">
        <f t="shared" si="25"/>
        <v>Prescott Valley town</v>
      </c>
      <c r="K794" s="1">
        <f>IF(COUNTIF($I$5:I794,I794)=1,1,0)</f>
        <v>0</v>
      </c>
    </row>
    <row r="795" spans="1:11" x14ac:dyDescent="0.2">
      <c r="A795" s="9">
        <v>791</v>
      </c>
      <c r="B795" s="5" t="s">
        <v>790</v>
      </c>
      <c r="C795" s="6">
        <v>49970</v>
      </c>
      <c r="D795" s="6">
        <v>50041</v>
      </c>
      <c r="E795" s="6">
        <v>50379</v>
      </c>
      <c r="F795" s="6">
        <v>50845</v>
      </c>
      <c r="G795" s="6">
        <v>51162</v>
      </c>
      <c r="H795" s="6">
        <v>51424</v>
      </c>
      <c r="I795" s="1" t="str">
        <f t="shared" si="24"/>
        <v xml:space="preserve"> Ohio</v>
      </c>
      <c r="J795" s="1" t="str">
        <f t="shared" si="25"/>
        <v>Newark city</v>
      </c>
      <c r="K795" s="1">
        <f>IF(COUNTIF($I$5:I795,I795)=1,1,0)</f>
        <v>0</v>
      </c>
    </row>
    <row r="796" spans="1:11" x14ac:dyDescent="0.2">
      <c r="A796" s="9">
        <v>792</v>
      </c>
      <c r="B796" s="5" t="s">
        <v>791</v>
      </c>
      <c r="C796" s="6">
        <v>52583</v>
      </c>
      <c r="D796" s="6">
        <v>52471</v>
      </c>
      <c r="E796" s="6">
        <v>52056</v>
      </c>
      <c r="F796" s="6">
        <v>51502</v>
      </c>
      <c r="G796" s="6">
        <v>51220</v>
      </c>
      <c r="H796" s="6">
        <v>51320</v>
      </c>
      <c r="I796" s="1" t="str">
        <f t="shared" si="24"/>
        <v xml:space="preserve"> California</v>
      </c>
      <c r="J796" s="1" t="str">
        <f t="shared" si="25"/>
        <v>Watsonville city</v>
      </c>
      <c r="K796" s="1">
        <f>IF(COUNTIF($I$5:I796,I796)=1,1,0)</f>
        <v>0</v>
      </c>
    </row>
    <row r="797" spans="1:11" x14ac:dyDescent="0.2">
      <c r="A797" s="9">
        <v>792</v>
      </c>
      <c r="B797" s="5" t="s">
        <v>792</v>
      </c>
      <c r="C797" s="6">
        <v>50632</v>
      </c>
      <c r="D797" s="6">
        <v>50765</v>
      </c>
      <c r="E797" s="6">
        <v>50923</v>
      </c>
      <c r="F797" s="6">
        <v>51414</v>
      </c>
      <c r="G797" s="6">
        <v>51262</v>
      </c>
      <c r="H797" s="6">
        <v>51320</v>
      </c>
      <c r="I797" s="1" t="str">
        <f t="shared" si="24"/>
        <v xml:space="preserve"> Texas</v>
      </c>
      <c r="J797" s="1" t="str">
        <f t="shared" si="25"/>
        <v>Grapevine city</v>
      </c>
      <c r="K797" s="1">
        <f>IF(COUNTIF($I$5:I797,I797)=1,1,0)</f>
        <v>0</v>
      </c>
    </row>
    <row r="798" spans="1:11" x14ac:dyDescent="0.2">
      <c r="A798" s="9">
        <v>794</v>
      </c>
      <c r="B798" s="5" t="s">
        <v>793</v>
      </c>
      <c r="C798" s="6">
        <v>52545</v>
      </c>
      <c r="D798" s="6">
        <v>52459</v>
      </c>
      <c r="E798" s="6">
        <v>52072</v>
      </c>
      <c r="F798" s="6">
        <v>51585</v>
      </c>
      <c r="G798" s="6">
        <v>51323</v>
      </c>
      <c r="H798" s="6">
        <v>51290</v>
      </c>
      <c r="I798" s="1" t="str">
        <f t="shared" si="24"/>
        <v xml:space="preserve"> Missouri</v>
      </c>
      <c r="J798" s="1" t="str">
        <f t="shared" si="25"/>
        <v>Florissant city</v>
      </c>
      <c r="K798" s="1">
        <f>IF(COUNTIF($I$5:I798,I798)=1,1,0)</f>
        <v>0</v>
      </c>
    </row>
    <row r="799" spans="1:11" x14ac:dyDescent="0.2">
      <c r="A799" s="9">
        <v>795</v>
      </c>
      <c r="B799" s="5" t="s">
        <v>794</v>
      </c>
      <c r="C799" s="6">
        <v>47336</v>
      </c>
      <c r="D799" s="6">
        <v>47497</v>
      </c>
      <c r="E799" s="6">
        <v>47563</v>
      </c>
      <c r="F799" s="6">
        <v>48588</v>
      </c>
      <c r="G799" s="6">
        <v>50259</v>
      </c>
      <c r="H799" s="6">
        <v>51269</v>
      </c>
      <c r="I799" s="1" t="str">
        <f t="shared" si="24"/>
        <v xml:space="preserve"> Florida</v>
      </c>
      <c r="J799" s="1" t="str">
        <f t="shared" si="25"/>
        <v>Ocoee city</v>
      </c>
      <c r="K799" s="1">
        <f>IF(COUNTIF($I$5:I799,I799)=1,1,0)</f>
        <v>0</v>
      </c>
    </row>
    <row r="800" spans="1:11" x14ac:dyDescent="0.2">
      <c r="A800" s="9">
        <v>796</v>
      </c>
      <c r="B800" s="5" t="s">
        <v>795</v>
      </c>
      <c r="C800" s="6">
        <v>53749</v>
      </c>
      <c r="D800" s="6">
        <v>53575</v>
      </c>
      <c r="E800" s="6">
        <v>52447</v>
      </c>
      <c r="F800" s="6">
        <v>51759</v>
      </c>
      <c r="G800" s="6">
        <v>51374</v>
      </c>
      <c r="H800" s="6">
        <v>51169</v>
      </c>
      <c r="I800" s="1" t="str">
        <f t="shared" si="24"/>
        <v xml:space="preserve"> California</v>
      </c>
      <c r="J800" s="1" t="str">
        <f t="shared" si="25"/>
        <v>Paramount city</v>
      </c>
      <c r="K800" s="1">
        <f>IF(COUNTIF($I$5:I800,I800)=1,1,0)</f>
        <v>0</v>
      </c>
    </row>
    <row r="801" spans="1:11" x14ac:dyDescent="0.2">
      <c r="A801" s="9">
        <v>797</v>
      </c>
      <c r="B801" s="5" t="s">
        <v>796</v>
      </c>
      <c r="C801" s="6">
        <v>51811</v>
      </c>
      <c r="D801" s="6">
        <v>51705</v>
      </c>
      <c r="E801" s="6">
        <v>51504</v>
      </c>
      <c r="F801" s="6">
        <v>51207</v>
      </c>
      <c r="G801" s="6">
        <v>51378</v>
      </c>
      <c r="H801" s="6">
        <v>51164</v>
      </c>
      <c r="I801" s="1" t="str">
        <f t="shared" si="24"/>
        <v xml:space="preserve"> Virginia</v>
      </c>
      <c r="J801" s="1" t="str">
        <f t="shared" si="25"/>
        <v>Harrisonburg city</v>
      </c>
      <c r="K801" s="1">
        <f>IF(COUNTIF($I$5:I801,I801)=1,1,0)</f>
        <v>0</v>
      </c>
    </row>
    <row r="802" spans="1:11" x14ac:dyDescent="0.2">
      <c r="A802" s="9">
        <v>798</v>
      </c>
      <c r="B802" s="5" t="s">
        <v>797</v>
      </c>
      <c r="C802" s="6">
        <v>51405</v>
      </c>
      <c r="D802" s="6">
        <v>51311</v>
      </c>
      <c r="E802" s="6">
        <v>51192</v>
      </c>
      <c r="F802" s="6">
        <v>50807</v>
      </c>
      <c r="G802" s="6">
        <v>50800</v>
      </c>
      <c r="H802" s="6">
        <v>51065</v>
      </c>
      <c r="I802" s="1" t="str">
        <f t="shared" si="24"/>
        <v xml:space="preserve"> New York</v>
      </c>
      <c r="J802" s="1" t="str">
        <f t="shared" si="25"/>
        <v>Troy city</v>
      </c>
      <c r="K802" s="1">
        <f>IF(COUNTIF($I$5:I802,I802)=1,1,0)</f>
        <v>0</v>
      </c>
    </row>
    <row r="803" spans="1:11" x14ac:dyDescent="0.2">
      <c r="A803" s="9">
        <v>799</v>
      </c>
      <c r="B803" s="5" t="s">
        <v>798</v>
      </c>
      <c r="C803" s="6">
        <v>52687</v>
      </c>
      <c r="D803" s="6">
        <v>52660</v>
      </c>
      <c r="E803" s="6">
        <v>50687</v>
      </c>
      <c r="F803" s="6">
        <v>51229</v>
      </c>
      <c r="G803" s="6">
        <v>51283</v>
      </c>
      <c r="H803" s="6">
        <v>51049</v>
      </c>
      <c r="I803" s="1" t="str">
        <f t="shared" si="24"/>
        <v xml:space="preserve"> Wisconsin</v>
      </c>
      <c r="J803" s="1" t="str">
        <f t="shared" si="25"/>
        <v>La Crosse city</v>
      </c>
      <c r="K803" s="1">
        <f>IF(COUNTIF($I$5:I803,I803)=1,1,0)</f>
        <v>0</v>
      </c>
    </row>
    <row r="804" spans="1:11" x14ac:dyDescent="0.2">
      <c r="A804" s="9">
        <v>800</v>
      </c>
      <c r="B804" s="5" t="s">
        <v>799</v>
      </c>
      <c r="C804" s="6">
        <v>51095</v>
      </c>
      <c r="D804" s="6">
        <v>51047</v>
      </c>
      <c r="E804" s="6">
        <v>50994</v>
      </c>
      <c r="F804" s="6">
        <v>51025</v>
      </c>
      <c r="G804" s="6">
        <v>51005</v>
      </c>
      <c r="H804" s="6">
        <v>51020</v>
      </c>
      <c r="I804" s="1" t="str">
        <f t="shared" si="24"/>
        <v xml:space="preserve"> Indiana</v>
      </c>
      <c r="J804" s="1" t="str">
        <f t="shared" si="25"/>
        <v>Mishawaka city</v>
      </c>
      <c r="K804" s="1">
        <f>IF(COUNTIF($I$5:I804,I804)=1,1,0)</f>
        <v>0</v>
      </c>
    </row>
    <row r="805" spans="1:11" x14ac:dyDescent="0.2">
      <c r="A805" s="9">
        <v>801</v>
      </c>
      <c r="B805" s="5" t="s">
        <v>800</v>
      </c>
      <c r="C805" s="6">
        <v>50544</v>
      </c>
      <c r="D805" s="6">
        <v>50411</v>
      </c>
      <c r="E805" s="6">
        <v>50437</v>
      </c>
      <c r="F805" s="6">
        <v>50514</v>
      </c>
      <c r="G805" s="6">
        <v>50666</v>
      </c>
      <c r="H805" s="6">
        <v>51004</v>
      </c>
      <c r="I805" s="1" t="str">
        <f t="shared" si="24"/>
        <v xml:space="preserve"> Connecticut</v>
      </c>
      <c r="J805" s="1" t="str">
        <f t="shared" si="25"/>
        <v>Milford city (balance)</v>
      </c>
      <c r="K805" s="1">
        <f>IF(COUNTIF($I$5:I805,I805)=1,1,0)</f>
        <v>0</v>
      </c>
    </row>
    <row r="806" spans="1:11" x14ac:dyDescent="0.2">
      <c r="A806" s="9">
        <v>802</v>
      </c>
      <c r="B806" s="5" t="s">
        <v>801</v>
      </c>
      <c r="C806" s="6">
        <v>51116</v>
      </c>
      <c r="D806" s="6">
        <v>51052</v>
      </c>
      <c r="E806" s="6">
        <v>50885</v>
      </c>
      <c r="F806" s="6">
        <v>50720</v>
      </c>
      <c r="G806" s="6">
        <v>50865</v>
      </c>
      <c r="H806" s="6">
        <v>50979</v>
      </c>
      <c r="I806" s="1" t="str">
        <f t="shared" si="24"/>
        <v xml:space="preserve"> Ohio</v>
      </c>
      <c r="J806" s="1" t="str">
        <f t="shared" si="25"/>
        <v>Cuyahoga Falls city</v>
      </c>
      <c r="K806" s="1">
        <f>IF(COUNTIF($I$5:I806,I806)=1,1,0)</f>
        <v>0</v>
      </c>
    </row>
    <row r="807" spans="1:11" x14ac:dyDescent="0.2">
      <c r="A807" s="9">
        <v>803</v>
      </c>
      <c r="B807" s="5" t="s">
        <v>802</v>
      </c>
      <c r="C807" s="6">
        <v>52539</v>
      </c>
      <c r="D807" s="6">
        <v>52380</v>
      </c>
      <c r="E807" s="6">
        <v>51427</v>
      </c>
      <c r="F807" s="6">
        <v>50751</v>
      </c>
      <c r="G807" s="6">
        <v>50581</v>
      </c>
      <c r="H807" s="6">
        <v>50920</v>
      </c>
      <c r="I807" s="1" t="str">
        <f t="shared" si="24"/>
        <v xml:space="preserve"> Illinois</v>
      </c>
      <c r="J807" s="1" t="str">
        <f t="shared" si="25"/>
        <v>Hoffman Estates village</v>
      </c>
      <c r="K807" s="1">
        <f>IF(COUNTIF($I$5:I807,I807)=1,1,0)</f>
        <v>0</v>
      </c>
    </row>
    <row r="808" spans="1:11" x14ac:dyDescent="0.2">
      <c r="A808" s="9">
        <v>804</v>
      </c>
      <c r="B808" s="5" t="s">
        <v>803</v>
      </c>
      <c r="C808" s="6">
        <v>43033</v>
      </c>
      <c r="D808" s="6">
        <v>43340</v>
      </c>
      <c r="E808" s="6">
        <v>44609</v>
      </c>
      <c r="F808" s="6">
        <v>46593</v>
      </c>
      <c r="G808" s="6">
        <v>48876</v>
      </c>
      <c r="H808" s="6">
        <v>50851</v>
      </c>
      <c r="I808" s="1" t="str">
        <f t="shared" si="24"/>
        <v xml:space="preserve"> Florida</v>
      </c>
      <c r="J808" s="1" t="str">
        <f t="shared" si="25"/>
        <v>Clermont city</v>
      </c>
      <c r="K808" s="1">
        <f>IF(COUNTIF($I$5:I808,I808)=1,1,0)</f>
        <v>0</v>
      </c>
    </row>
    <row r="809" spans="1:11" x14ac:dyDescent="0.2">
      <c r="A809" s="9">
        <v>805</v>
      </c>
      <c r="B809" s="5" t="s">
        <v>804</v>
      </c>
      <c r="C809" s="6">
        <v>50637</v>
      </c>
      <c r="D809" s="6">
        <v>50520</v>
      </c>
      <c r="E809" s="6">
        <v>49735</v>
      </c>
      <c r="F809" s="6">
        <v>49674</v>
      </c>
      <c r="G809" s="6">
        <v>50114</v>
      </c>
      <c r="H809" s="6">
        <v>50817</v>
      </c>
      <c r="I809" s="1" t="str">
        <f t="shared" si="24"/>
        <v xml:space="preserve"> Utah</v>
      </c>
      <c r="J809" s="1" t="str">
        <f t="shared" si="25"/>
        <v>Murray city</v>
      </c>
      <c r="K809" s="1">
        <f>IF(COUNTIF($I$5:I809,I809)=1,1,0)</f>
        <v>0</v>
      </c>
    </row>
    <row r="810" spans="1:11" x14ac:dyDescent="0.2">
      <c r="A810" s="9">
        <v>806</v>
      </c>
      <c r="B810" s="5" t="s">
        <v>805</v>
      </c>
      <c r="C810" s="6">
        <v>47575</v>
      </c>
      <c r="D810" s="6">
        <v>47661</v>
      </c>
      <c r="E810" s="6">
        <v>48350</v>
      </c>
      <c r="F810" s="6">
        <v>48796</v>
      </c>
      <c r="G810" s="6">
        <v>49791</v>
      </c>
      <c r="H810" s="6">
        <v>50805</v>
      </c>
      <c r="I810" s="1" t="str">
        <f t="shared" si="24"/>
        <v xml:space="preserve"> Florida</v>
      </c>
      <c r="J810" s="1" t="str">
        <f t="shared" si="25"/>
        <v>Fort Pierce city</v>
      </c>
      <c r="K810" s="1">
        <f>IF(COUNTIF($I$5:I810,I810)=1,1,0)</f>
        <v>0</v>
      </c>
    </row>
    <row r="811" spans="1:11" x14ac:dyDescent="0.2">
      <c r="A811" s="9">
        <v>807</v>
      </c>
      <c r="B811" s="5" t="s">
        <v>806</v>
      </c>
      <c r="C811" s="6">
        <v>50080</v>
      </c>
      <c r="D811" s="6">
        <v>50092</v>
      </c>
      <c r="E811" s="6">
        <v>50248</v>
      </c>
      <c r="F811" s="6">
        <v>50213</v>
      </c>
      <c r="G811" s="6">
        <v>50292</v>
      </c>
      <c r="H811" s="6">
        <v>50649</v>
      </c>
      <c r="I811" s="1" t="str">
        <f t="shared" si="24"/>
        <v xml:space="preserve"> Pennsylvania</v>
      </c>
      <c r="J811" s="1" t="str">
        <f t="shared" si="25"/>
        <v>Harrisburg city</v>
      </c>
      <c r="K811" s="1">
        <f>IF(COUNTIF($I$5:I811,I811)=1,1,0)</f>
        <v>0</v>
      </c>
    </row>
    <row r="812" spans="1:11" x14ac:dyDescent="0.2">
      <c r="A812" s="9">
        <v>808</v>
      </c>
      <c r="B812" s="5" t="s">
        <v>807</v>
      </c>
      <c r="C812" s="6">
        <v>50276</v>
      </c>
      <c r="D812" s="6">
        <v>50182</v>
      </c>
      <c r="E812" s="6">
        <v>49816</v>
      </c>
      <c r="F812" s="6">
        <v>49579</v>
      </c>
      <c r="G812" s="6">
        <v>50130</v>
      </c>
      <c r="H812" s="6">
        <v>50552</v>
      </c>
      <c r="I812" s="1" t="str">
        <f t="shared" si="24"/>
        <v xml:space="preserve"> Illinois</v>
      </c>
      <c r="J812" s="1" t="str">
        <f t="shared" si="25"/>
        <v>Downers Grove village</v>
      </c>
      <c r="K812" s="1">
        <f>IF(COUNTIF($I$5:I812,I812)=1,1,0)</f>
        <v>0</v>
      </c>
    </row>
    <row r="813" spans="1:11" x14ac:dyDescent="0.2">
      <c r="A813" s="9">
        <v>809</v>
      </c>
      <c r="B813" s="5" t="s">
        <v>808</v>
      </c>
      <c r="C813" s="6">
        <v>51282</v>
      </c>
      <c r="D813" s="6">
        <v>51161</v>
      </c>
      <c r="E813" s="6">
        <v>50557</v>
      </c>
      <c r="F813" s="6">
        <v>50546</v>
      </c>
      <c r="G813" s="6">
        <v>50582</v>
      </c>
      <c r="H813" s="6">
        <v>50519</v>
      </c>
      <c r="I813" s="1" t="str">
        <f t="shared" si="24"/>
        <v xml:space="preserve"> Oklahoma</v>
      </c>
      <c r="J813" s="1" t="str">
        <f t="shared" si="25"/>
        <v>Enid city</v>
      </c>
      <c r="K813" s="1">
        <f>IF(COUNTIF($I$5:I813,I813)=1,1,0)</f>
        <v>0</v>
      </c>
    </row>
    <row r="814" spans="1:11" x14ac:dyDescent="0.2">
      <c r="A814" s="9">
        <v>810</v>
      </c>
      <c r="B814" s="5" t="s">
        <v>809</v>
      </c>
      <c r="C814" s="6">
        <v>52173</v>
      </c>
      <c r="D814" s="6">
        <v>52076</v>
      </c>
      <c r="E814" s="6">
        <v>51517</v>
      </c>
      <c r="F814" s="6">
        <v>51005</v>
      </c>
      <c r="G814" s="6">
        <v>50572</v>
      </c>
      <c r="H814" s="6">
        <v>50457</v>
      </c>
      <c r="I814" s="1" t="str">
        <f t="shared" si="24"/>
        <v xml:space="preserve"> California</v>
      </c>
      <c r="J814" s="1" t="str">
        <f t="shared" si="25"/>
        <v>Aliso Viejo city</v>
      </c>
      <c r="K814" s="1">
        <f>IF(COUNTIF($I$5:I814,I814)=1,1,0)</f>
        <v>0</v>
      </c>
    </row>
    <row r="815" spans="1:11" x14ac:dyDescent="0.2">
      <c r="A815" s="9">
        <v>811</v>
      </c>
      <c r="B815" s="5" t="s">
        <v>810</v>
      </c>
      <c r="C815" s="6">
        <v>49242</v>
      </c>
      <c r="D815" s="6">
        <v>49752</v>
      </c>
      <c r="E815" s="6">
        <v>49661</v>
      </c>
      <c r="F815" s="6">
        <v>49259</v>
      </c>
      <c r="G815" s="6">
        <v>49801</v>
      </c>
      <c r="H815" s="6">
        <v>50379</v>
      </c>
      <c r="I815" s="1" t="str">
        <f t="shared" si="24"/>
        <v xml:space="preserve"> Florida</v>
      </c>
      <c r="J815" s="1" t="str">
        <f t="shared" si="25"/>
        <v>Coral Gables city</v>
      </c>
      <c r="K815" s="1">
        <f>IF(COUNTIF($I$5:I815,I815)=1,1,0)</f>
        <v>0</v>
      </c>
    </row>
    <row r="816" spans="1:11" x14ac:dyDescent="0.2">
      <c r="A816" s="9">
        <v>812</v>
      </c>
      <c r="B816" s="5" t="s">
        <v>811</v>
      </c>
      <c r="C816" s="6">
        <v>45972</v>
      </c>
      <c r="D816" s="6">
        <v>46260</v>
      </c>
      <c r="E816" s="6">
        <v>46739</v>
      </c>
      <c r="F816" s="6">
        <v>47674</v>
      </c>
      <c r="G816" s="6">
        <v>49429</v>
      </c>
      <c r="H816" s="6">
        <v>50352</v>
      </c>
      <c r="I816" s="1" t="str">
        <f t="shared" si="24"/>
        <v xml:space="preserve"> South Carolina</v>
      </c>
      <c r="J816" s="1" t="str">
        <f t="shared" si="25"/>
        <v>Goose Creek city</v>
      </c>
      <c r="K816" s="1">
        <f>IF(COUNTIF($I$5:I816,I816)=1,1,0)</f>
        <v>0</v>
      </c>
    </row>
    <row r="817" spans="1:11" x14ac:dyDescent="0.2">
      <c r="A817" s="9">
        <v>813</v>
      </c>
      <c r="B817" s="5" t="s">
        <v>812</v>
      </c>
      <c r="C817" s="6">
        <v>47799</v>
      </c>
      <c r="D817" s="6">
        <v>47911</v>
      </c>
      <c r="E817" s="6">
        <v>48084</v>
      </c>
      <c r="F817" s="6">
        <v>48626</v>
      </c>
      <c r="G817" s="6">
        <v>49328</v>
      </c>
      <c r="H817" s="6">
        <v>50232</v>
      </c>
      <c r="I817" s="1" t="str">
        <f t="shared" si="24"/>
        <v xml:space="preserve"> Tennessee</v>
      </c>
      <c r="J817" s="1" t="str">
        <f t="shared" si="25"/>
        <v>Cleveland city</v>
      </c>
      <c r="K817" s="1">
        <f>IF(COUNTIF($I$5:I817,I817)=1,1,0)</f>
        <v>0</v>
      </c>
    </row>
    <row r="818" spans="1:11" x14ac:dyDescent="0.2">
      <c r="A818" s="9">
        <v>814</v>
      </c>
      <c r="B818" s="5" t="s">
        <v>813</v>
      </c>
      <c r="C818" s="6">
        <v>43671</v>
      </c>
      <c r="D818" s="6">
        <v>43959</v>
      </c>
      <c r="E818" s="6">
        <v>45062</v>
      </c>
      <c r="F818" s="6">
        <v>45290</v>
      </c>
      <c r="G818" s="6">
        <v>47452</v>
      </c>
      <c r="H818" s="6">
        <v>50229</v>
      </c>
      <c r="I818" s="1" t="str">
        <f t="shared" si="24"/>
        <v xml:space="preserve"> Texas</v>
      </c>
      <c r="J818" s="1" t="str">
        <f t="shared" si="25"/>
        <v>Sherman city</v>
      </c>
      <c r="K818" s="1">
        <f>IF(COUNTIF($I$5:I818,I818)=1,1,0)</f>
        <v>0</v>
      </c>
    </row>
    <row r="819" spans="1:11" x14ac:dyDescent="0.2">
      <c r="A819" s="9">
        <v>815</v>
      </c>
      <c r="B819" s="5" t="s">
        <v>814</v>
      </c>
      <c r="C819" s="6">
        <v>51025</v>
      </c>
      <c r="D819" s="6">
        <v>51023</v>
      </c>
      <c r="E819" s="6">
        <v>51373</v>
      </c>
      <c r="F819" s="6">
        <v>48703</v>
      </c>
      <c r="G819" s="6">
        <v>50140</v>
      </c>
      <c r="H819" s="6">
        <v>50166</v>
      </c>
      <c r="I819" s="1" t="str">
        <f t="shared" si="24"/>
        <v xml:space="preserve"> Utah</v>
      </c>
      <c r="J819" s="1" t="str">
        <f t="shared" si="25"/>
        <v>Draper city</v>
      </c>
      <c r="K819" s="1">
        <f>IF(COUNTIF($I$5:I819,I819)=1,1,0)</f>
        <v>0</v>
      </c>
    </row>
    <row r="820" spans="1:11" x14ac:dyDescent="0.2">
      <c r="A820" s="9">
        <v>816</v>
      </c>
      <c r="B820" s="5" t="s">
        <v>815</v>
      </c>
      <c r="C820" s="6">
        <v>48380</v>
      </c>
      <c r="D820" s="6">
        <v>48389</v>
      </c>
      <c r="E820" s="6">
        <v>48721</v>
      </c>
      <c r="F820" s="6">
        <v>49304</v>
      </c>
      <c r="G820" s="6">
        <v>49824</v>
      </c>
      <c r="H820" s="6">
        <v>50138</v>
      </c>
      <c r="I820" s="1" t="str">
        <f t="shared" si="24"/>
        <v xml:space="preserve"> Oklahoma</v>
      </c>
      <c r="J820" s="1" t="str">
        <f t="shared" si="25"/>
        <v>Stillwater city</v>
      </c>
      <c r="K820" s="1">
        <f>IF(COUNTIF($I$5:I820,I820)=1,1,0)</f>
        <v>0</v>
      </c>
    </row>
    <row r="821" spans="1:11" x14ac:dyDescent="0.2">
      <c r="A821" s="9">
        <v>817</v>
      </c>
      <c r="B821" s="5" t="s">
        <v>816</v>
      </c>
      <c r="C821" s="6">
        <v>52580</v>
      </c>
      <c r="D821" s="6">
        <v>52409</v>
      </c>
      <c r="E821" s="6">
        <v>51223</v>
      </c>
      <c r="F821" s="6">
        <v>50607</v>
      </c>
      <c r="G821" s="6">
        <v>50258</v>
      </c>
      <c r="H821" s="6">
        <v>50101</v>
      </c>
      <c r="I821" s="1" t="str">
        <f t="shared" si="24"/>
        <v xml:space="preserve"> California</v>
      </c>
      <c r="J821" s="1" t="str">
        <f t="shared" si="25"/>
        <v>Glendora city</v>
      </c>
      <c r="K821" s="1">
        <f>IF(COUNTIF($I$5:I821,I821)=1,1,0)</f>
        <v>0</v>
      </c>
    </row>
    <row r="822" spans="1:11" x14ac:dyDescent="0.2">
      <c r="A822" s="9">
        <v>818</v>
      </c>
      <c r="B822" s="5" t="s">
        <v>817</v>
      </c>
      <c r="C822" s="6">
        <v>48876</v>
      </c>
      <c r="D822" s="6">
        <v>48938</v>
      </c>
      <c r="E822" s="6">
        <v>48909</v>
      </c>
      <c r="F822" s="6">
        <v>48982</v>
      </c>
      <c r="G822" s="6">
        <v>49464</v>
      </c>
      <c r="H822" s="6">
        <v>49975</v>
      </c>
      <c r="I822" s="1" t="str">
        <f t="shared" si="24"/>
        <v xml:space="preserve"> Michigan</v>
      </c>
      <c r="J822" s="1" t="str">
        <f t="shared" si="25"/>
        <v>Portage city</v>
      </c>
      <c r="K822" s="1">
        <f>IF(COUNTIF($I$5:I822,I822)=1,1,0)</f>
        <v>0</v>
      </c>
    </row>
    <row r="823" spans="1:11" x14ac:dyDescent="0.2">
      <c r="A823" s="9">
        <v>819</v>
      </c>
      <c r="B823" s="5" t="s">
        <v>818</v>
      </c>
      <c r="C823" s="6">
        <v>50010</v>
      </c>
      <c r="D823" s="6">
        <v>50031</v>
      </c>
      <c r="E823" s="6">
        <v>49264</v>
      </c>
      <c r="F823" s="6">
        <v>48914</v>
      </c>
      <c r="G823" s="6">
        <v>49877</v>
      </c>
      <c r="H823" s="6">
        <v>49899</v>
      </c>
      <c r="I823" s="1" t="str">
        <f t="shared" si="24"/>
        <v xml:space="preserve"> Minnesota</v>
      </c>
      <c r="J823" s="1" t="str">
        <f t="shared" si="25"/>
        <v>St. Louis Park city</v>
      </c>
      <c r="K823" s="1">
        <f>IF(COUNTIF($I$5:I823,I823)=1,1,0)</f>
        <v>0</v>
      </c>
    </row>
    <row r="824" spans="1:11" x14ac:dyDescent="0.2">
      <c r="A824" s="9">
        <v>820</v>
      </c>
      <c r="B824" s="5" t="s">
        <v>819</v>
      </c>
      <c r="C824" s="6">
        <v>48797</v>
      </c>
      <c r="D824" s="6">
        <v>48821</v>
      </c>
      <c r="E824" s="6">
        <v>48967</v>
      </c>
      <c r="F824" s="6">
        <v>49432</v>
      </c>
      <c r="G824" s="6">
        <v>49896</v>
      </c>
      <c r="H824" s="6">
        <v>49883</v>
      </c>
      <c r="I824" s="1" t="str">
        <f t="shared" si="24"/>
        <v xml:space="preserve"> Florida</v>
      </c>
      <c r="J824" s="1" t="str">
        <f t="shared" si="25"/>
        <v>Titusville city</v>
      </c>
      <c r="K824" s="1">
        <f>IF(COUNTIF($I$5:I824,I824)=1,1,0)</f>
        <v>0</v>
      </c>
    </row>
    <row r="825" spans="1:11" x14ac:dyDescent="0.2">
      <c r="A825" s="9">
        <v>821</v>
      </c>
      <c r="B825" s="5" t="s">
        <v>820</v>
      </c>
      <c r="C825" s="6">
        <v>48914</v>
      </c>
      <c r="D825" s="6">
        <v>48872</v>
      </c>
      <c r="E825" s="6">
        <v>49601</v>
      </c>
      <c r="F825" s="6">
        <v>49604</v>
      </c>
      <c r="G825" s="6">
        <v>49958</v>
      </c>
      <c r="H825" s="6">
        <v>49831</v>
      </c>
      <c r="I825" s="1" t="str">
        <f t="shared" si="24"/>
        <v xml:space="preserve"> Massachusetts</v>
      </c>
      <c r="J825" s="1" t="str">
        <f t="shared" si="25"/>
        <v>Barnstable Town city</v>
      </c>
      <c r="K825" s="1">
        <f>IF(COUNTIF($I$5:I825,I825)=1,1,0)</f>
        <v>0</v>
      </c>
    </row>
    <row r="826" spans="1:11" x14ac:dyDescent="0.2">
      <c r="A826" s="9">
        <v>821</v>
      </c>
      <c r="B826" s="5" t="s">
        <v>821</v>
      </c>
      <c r="C826" s="6">
        <v>48307</v>
      </c>
      <c r="D826" s="6">
        <v>48443</v>
      </c>
      <c r="E826" s="6">
        <v>49052</v>
      </c>
      <c r="F826" s="6">
        <v>49131</v>
      </c>
      <c r="G826" s="6">
        <v>49468</v>
      </c>
      <c r="H826" s="6">
        <v>49831</v>
      </c>
      <c r="I826" s="1" t="str">
        <f t="shared" si="24"/>
        <v xml:space="preserve"> Virginia</v>
      </c>
      <c r="J826" s="1" t="str">
        <f t="shared" si="25"/>
        <v>Leesburg town</v>
      </c>
      <c r="K826" s="1">
        <f>IF(COUNTIF($I$5:I826,I826)=1,1,0)</f>
        <v>0</v>
      </c>
    </row>
    <row r="827" spans="1:11" x14ac:dyDescent="0.2">
      <c r="A827" s="9">
        <v>823</v>
      </c>
      <c r="B827" s="5" t="s">
        <v>822</v>
      </c>
      <c r="C827" s="6">
        <v>49374</v>
      </c>
      <c r="D827" s="6">
        <v>49342</v>
      </c>
      <c r="E827" s="6">
        <v>49440</v>
      </c>
      <c r="F827" s="6">
        <v>49461</v>
      </c>
      <c r="G827" s="6">
        <v>49578</v>
      </c>
      <c r="H827" s="6">
        <v>49817</v>
      </c>
      <c r="I827" s="1" t="str">
        <f t="shared" si="24"/>
        <v xml:space="preserve"> Indiana</v>
      </c>
      <c r="J827" s="1" t="str">
        <f t="shared" si="25"/>
        <v>Lawrence city</v>
      </c>
      <c r="K827" s="1">
        <f>IF(COUNTIF($I$5:I827,I827)=1,1,0)</f>
        <v>0</v>
      </c>
    </row>
    <row r="828" spans="1:11" x14ac:dyDescent="0.2">
      <c r="A828" s="9">
        <v>824</v>
      </c>
      <c r="B828" s="5" t="s">
        <v>823</v>
      </c>
      <c r="C828" s="6">
        <v>47106</v>
      </c>
      <c r="D828" s="6">
        <v>47191</v>
      </c>
      <c r="E828" s="6">
        <v>47882</v>
      </c>
      <c r="F828" s="6">
        <v>48498</v>
      </c>
      <c r="G828" s="6">
        <v>49110</v>
      </c>
      <c r="H828" s="6">
        <v>49729</v>
      </c>
      <c r="I828" s="1" t="str">
        <f t="shared" si="24"/>
        <v xml:space="preserve"> California</v>
      </c>
      <c r="J828" s="1" t="str">
        <f t="shared" si="25"/>
        <v>San Luis Obispo city</v>
      </c>
      <c r="K828" s="1">
        <f>IF(COUNTIF($I$5:I828,I828)=1,1,0)</f>
        <v>0</v>
      </c>
    </row>
    <row r="829" spans="1:11" x14ac:dyDescent="0.2">
      <c r="A829" s="9">
        <v>825</v>
      </c>
      <c r="B829" s="5" t="s">
        <v>824</v>
      </c>
      <c r="C829" s="6">
        <v>49938</v>
      </c>
      <c r="D829" s="6">
        <v>49974</v>
      </c>
      <c r="E829" s="6">
        <v>49623</v>
      </c>
      <c r="F829" s="6">
        <v>49508</v>
      </c>
      <c r="G829" s="6">
        <v>49614</v>
      </c>
      <c r="H829" s="6">
        <v>49624</v>
      </c>
      <c r="I829" s="1" t="str">
        <f t="shared" si="24"/>
        <v xml:space="preserve"> Wisconsin</v>
      </c>
      <c r="J829" s="1" t="str">
        <f t="shared" si="25"/>
        <v>Sheboygan city</v>
      </c>
      <c r="K829" s="1">
        <f>IF(COUNTIF($I$5:I829,I829)=1,1,0)</f>
        <v>0</v>
      </c>
    </row>
    <row r="830" spans="1:11" x14ac:dyDescent="0.2">
      <c r="A830" s="9">
        <v>826</v>
      </c>
      <c r="B830" s="5" t="s">
        <v>825</v>
      </c>
      <c r="C830" s="6">
        <v>49151</v>
      </c>
      <c r="D830" s="6">
        <v>49108</v>
      </c>
      <c r="E830" s="6">
        <v>48574</v>
      </c>
      <c r="F830" s="6">
        <v>48477</v>
      </c>
      <c r="G830" s="6">
        <v>48986</v>
      </c>
      <c r="H830" s="6">
        <v>49618</v>
      </c>
      <c r="I830" s="1" t="str">
        <f t="shared" si="24"/>
        <v xml:space="preserve"> Texas</v>
      </c>
      <c r="J830" s="1" t="str">
        <f t="shared" si="25"/>
        <v>Cedar Hill city</v>
      </c>
      <c r="K830" s="1">
        <f>IF(COUNTIF($I$5:I830,I830)=1,1,0)</f>
        <v>0</v>
      </c>
    </row>
    <row r="831" spans="1:11" x14ac:dyDescent="0.2">
      <c r="A831" s="9">
        <v>827</v>
      </c>
      <c r="B831" s="5" t="s">
        <v>826</v>
      </c>
      <c r="C831" s="6">
        <v>51178</v>
      </c>
      <c r="D831" s="6">
        <v>51036</v>
      </c>
      <c r="E831" s="6">
        <v>50099</v>
      </c>
      <c r="F831" s="6">
        <v>49686</v>
      </c>
      <c r="G831" s="6">
        <v>49562</v>
      </c>
      <c r="H831" s="6">
        <v>49582</v>
      </c>
      <c r="I831" s="1" t="str">
        <f t="shared" si="24"/>
        <v xml:space="preserve"> California</v>
      </c>
      <c r="J831" s="1" t="str">
        <f t="shared" si="25"/>
        <v>Rosemead city</v>
      </c>
      <c r="K831" s="1">
        <f>IF(COUNTIF($I$5:I831,I831)=1,1,0)</f>
        <v>0</v>
      </c>
    </row>
    <row r="832" spans="1:11" x14ac:dyDescent="0.2">
      <c r="A832" s="9">
        <v>828</v>
      </c>
      <c r="B832" s="5" t="s">
        <v>827</v>
      </c>
      <c r="C832" s="6">
        <v>50940</v>
      </c>
      <c r="D832" s="6">
        <v>50825</v>
      </c>
      <c r="E832" s="6">
        <v>50268</v>
      </c>
      <c r="F832" s="6">
        <v>49776</v>
      </c>
      <c r="G832" s="6">
        <v>49564</v>
      </c>
      <c r="H832" s="6">
        <v>49517</v>
      </c>
      <c r="I832" s="1" t="str">
        <f t="shared" si="24"/>
        <v xml:space="preserve"> Ohio</v>
      </c>
      <c r="J832" s="1" t="str">
        <f t="shared" si="25"/>
        <v>Lakewood city</v>
      </c>
      <c r="K832" s="1">
        <f>IF(COUNTIF($I$5:I832,I832)=1,1,0)</f>
        <v>0</v>
      </c>
    </row>
    <row r="833" spans="1:11" x14ac:dyDescent="0.2">
      <c r="A833" s="9">
        <v>829</v>
      </c>
      <c r="B833" s="5" t="s">
        <v>828</v>
      </c>
      <c r="C833" s="6">
        <v>45823</v>
      </c>
      <c r="D833" s="6">
        <v>45859</v>
      </c>
      <c r="E833" s="6">
        <v>46945</v>
      </c>
      <c r="F833" s="6">
        <v>47816</v>
      </c>
      <c r="G833" s="6">
        <v>49267</v>
      </c>
      <c r="H833" s="6">
        <v>49500</v>
      </c>
      <c r="I833" s="1" t="str">
        <f t="shared" si="24"/>
        <v xml:space="preserve"> Texas</v>
      </c>
      <c r="J833" s="1" t="str">
        <f t="shared" si="25"/>
        <v>Huntsville city</v>
      </c>
      <c r="K833" s="1">
        <f>IF(COUNTIF($I$5:I833,I833)=1,1,0)</f>
        <v>0</v>
      </c>
    </row>
    <row r="834" spans="1:11" x14ac:dyDescent="0.2">
      <c r="A834" s="9">
        <v>830</v>
      </c>
      <c r="B834" s="5" t="s">
        <v>829</v>
      </c>
      <c r="C834" s="6">
        <v>49992</v>
      </c>
      <c r="D834" s="6">
        <v>49949</v>
      </c>
      <c r="E834" s="6">
        <v>49751</v>
      </c>
      <c r="F834" s="6">
        <v>49386</v>
      </c>
      <c r="G834" s="6">
        <v>49345</v>
      </c>
      <c r="H834" s="6">
        <v>49465</v>
      </c>
      <c r="I834" s="1" t="str">
        <f t="shared" si="24"/>
        <v xml:space="preserve"> Missouri</v>
      </c>
      <c r="J834" s="1" t="str">
        <f t="shared" si="25"/>
        <v>Chesterfield city</v>
      </c>
      <c r="K834" s="1">
        <f>IF(COUNTIF($I$5:I834,I834)=1,1,0)</f>
        <v>0</v>
      </c>
    </row>
    <row r="835" spans="1:11" x14ac:dyDescent="0.2">
      <c r="A835" s="9">
        <v>831</v>
      </c>
      <c r="B835" s="5" t="s">
        <v>830</v>
      </c>
      <c r="C835" s="6">
        <v>49315</v>
      </c>
      <c r="D835" s="6">
        <v>49344</v>
      </c>
      <c r="E835" s="6">
        <v>49110</v>
      </c>
      <c r="F835" s="6">
        <v>49159</v>
      </c>
      <c r="G835" s="6">
        <v>49292</v>
      </c>
      <c r="H835" s="6">
        <v>49456</v>
      </c>
      <c r="I835" s="1" t="str">
        <f t="shared" si="24"/>
        <v xml:space="preserve"> Ohio</v>
      </c>
      <c r="J835" s="1" t="str">
        <f t="shared" si="25"/>
        <v>Dublin city</v>
      </c>
      <c r="K835" s="1">
        <f>IF(COUNTIF($I$5:I835,I835)=1,1,0)</f>
        <v>0</v>
      </c>
    </row>
    <row r="836" spans="1:11" x14ac:dyDescent="0.2">
      <c r="A836" s="9">
        <v>832</v>
      </c>
      <c r="B836" s="5" t="s">
        <v>831</v>
      </c>
      <c r="C836" s="6">
        <v>48833</v>
      </c>
      <c r="D836" s="6">
        <v>48785</v>
      </c>
      <c r="E836" s="6">
        <v>48503</v>
      </c>
      <c r="F836" s="6">
        <v>48353</v>
      </c>
      <c r="G836" s="6">
        <v>48613</v>
      </c>
      <c r="H836" s="6">
        <v>49435</v>
      </c>
      <c r="I836" s="1" t="str">
        <f t="shared" si="24"/>
        <v xml:space="preserve"> California</v>
      </c>
      <c r="J836" s="1" t="str">
        <f t="shared" si="25"/>
        <v>Poway city</v>
      </c>
      <c r="K836" s="1">
        <f>IF(COUNTIF($I$5:I836,I836)=1,1,0)</f>
        <v>0</v>
      </c>
    </row>
    <row r="837" spans="1:11" x14ac:dyDescent="0.2">
      <c r="A837" s="9">
        <v>833</v>
      </c>
      <c r="B837" s="5" t="s">
        <v>832</v>
      </c>
      <c r="C837" s="6">
        <v>50148</v>
      </c>
      <c r="D837" s="6">
        <v>50053</v>
      </c>
      <c r="E837" s="6">
        <v>49603</v>
      </c>
      <c r="F837" s="6">
        <v>49329</v>
      </c>
      <c r="G837" s="6">
        <v>49134</v>
      </c>
      <c r="H837" s="6">
        <v>49286</v>
      </c>
      <c r="I837" s="1" t="str">
        <f t="shared" si="24"/>
        <v xml:space="preserve"> California</v>
      </c>
      <c r="J837" s="1" t="str">
        <f t="shared" si="25"/>
        <v>Cypress city</v>
      </c>
      <c r="K837" s="1">
        <f>IF(COUNTIF($I$5:I837,I837)=1,1,0)</f>
        <v>0</v>
      </c>
    </row>
    <row r="838" spans="1:11" x14ac:dyDescent="0.2">
      <c r="A838" s="9">
        <v>834</v>
      </c>
      <c r="B838" s="5" t="s">
        <v>833</v>
      </c>
      <c r="C838" s="6">
        <v>49715</v>
      </c>
      <c r="D838" s="6">
        <v>49694</v>
      </c>
      <c r="E838" s="6">
        <v>49508</v>
      </c>
      <c r="F838" s="6">
        <v>49166</v>
      </c>
      <c r="G838" s="6">
        <v>49092</v>
      </c>
      <c r="H838" s="6">
        <v>49253</v>
      </c>
      <c r="I838" s="1" t="str">
        <f t="shared" ref="I838:I901" si="26">_xlfn.TEXTAFTER(B838,",")</f>
        <v xml:space="preserve"> California</v>
      </c>
      <c r="J838" s="1" t="str">
        <f t="shared" ref="J838:J901" si="27">_xlfn.TEXTBEFORE(B838,", ")</f>
        <v>Ceres city</v>
      </c>
      <c r="K838" s="1">
        <f>IF(COUNTIF($I$5:I838,I838)=1,1,0)</f>
        <v>0</v>
      </c>
    </row>
    <row r="839" spans="1:11" x14ac:dyDescent="0.2">
      <c r="A839" s="9">
        <v>835</v>
      </c>
      <c r="B839" s="5" t="s">
        <v>834</v>
      </c>
      <c r="C839" s="6">
        <v>51270</v>
      </c>
      <c r="D839" s="6">
        <v>51168</v>
      </c>
      <c r="E839" s="6">
        <v>50196</v>
      </c>
      <c r="F839" s="6">
        <v>49469</v>
      </c>
      <c r="G839" s="6">
        <v>49177</v>
      </c>
      <c r="H839" s="6">
        <v>49245</v>
      </c>
      <c r="I839" s="1" t="str">
        <f t="shared" si="26"/>
        <v xml:space="preserve"> California</v>
      </c>
      <c r="J839" s="1" t="str">
        <f t="shared" si="27"/>
        <v>Covina city</v>
      </c>
      <c r="K839" s="1">
        <f>IF(COUNTIF($I$5:I839,I839)=1,1,0)</f>
        <v>0</v>
      </c>
    </row>
    <row r="840" spans="1:11" x14ac:dyDescent="0.2">
      <c r="A840" s="9">
        <v>836</v>
      </c>
      <c r="B840" s="5" t="s">
        <v>835</v>
      </c>
      <c r="C840" s="6">
        <v>48083</v>
      </c>
      <c r="D840" s="6">
        <v>48021</v>
      </c>
      <c r="E840" s="6">
        <v>34848</v>
      </c>
      <c r="F840" s="6">
        <v>47702</v>
      </c>
      <c r="G840" s="6">
        <v>49160</v>
      </c>
      <c r="H840" s="6">
        <v>48964</v>
      </c>
      <c r="I840" s="1" t="str">
        <f t="shared" si="26"/>
        <v xml:space="preserve"> Michigan</v>
      </c>
      <c r="J840" s="1" t="str">
        <f t="shared" si="27"/>
        <v>East Lansing city</v>
      </c>
      <c r="K840" s="1">
        <f>IF(COUNTIF($I$5:I840,I840)=1,1,0)</f>
        <v>0</v>
      </c>
    </row>
    <row r="841" spans="1:11" x14ac:dyDescent="0.2">
      <c r="A841" s="9">
        <v>837</v>
      </c>
      <c r="B841" s="5" t="s">
        <v>836</v>
      </c>
      <c r="C841" s="6">
        <v>44901</v>
      </c>
      <c r="D841" s="6">
        <v>44970</v>
      </c>
      <c r="E841" s="6">
        <v>45626</v>
      </c>
      <c r="F841" s="6">
        <v>46349</v>
      </c>
      <c r="G841" s="6">
        <v>47607</v>
      </c>
      <c r="H841" s="6">
        <v>48881</v>
      </c>
      <c r="I841" s="1" t="str">
        <f t="shared" si="26"/>
        <v xml:space="preserve"> Illinois</v>
      </c>
      <c r="J841" s="1" t="str">
        <f t="shared" si="27"/>
        <v>Plainfield village</v>
      </c>
      <c r="K841" s="1">
        <f>IF(COUNTIF($I$5:I841,I841)=1,1,0)</f>
        <v>0</v>
      </c>
    </row>
    <row r="842" spans="1:11" x14ac:dyDescent="0.2">
      <c r="A842" s="9">
        <v>838</v>
      </c>
      <c r="B842" s="5" t="s">
        <v>837</v>
      </c>
      <c r="C842" s="6">
        <v>47072</v>
      </c>
      <c r="D842" s="6">
        <v>47226</v>
      </c>
      <c r="E842" s="6">
        <v>47803</v>
      </c>
      <c r="F842" s="6">
        <v>48304</v>
      </c>
      <c r="G842" s="6">
        <v>48556</v>
      </c>
      <c r="H842" s="6">
        <v>48855</v>
      </c>
      <c r="I842" s="1" t="str">
        <f t="shared" si="26"/>
        <v xml:space="preserve"> Arizona</v>
      </c>
      <c r="J842" s="1" t="str">
        <f t="shared" si="27"/>
        <v>Oro Valley town</v>
      </c>
      <c r="K842" s="1">
        <f>IF(COUNTIF($I$5:I842,I842)=1,1,0)</f>
        <v>0</v>
      </c>
    </row>
    <row r="843" spans="1:11" x14ac:dyDescent="0.2">
      <c r="A843" s="9">
        <v>839</v>
      </c>
      <c r="B843" s="5" t="s">
        <v>838</v>
      </c>
      <c r="C843" s="6">
        <v>41615</v>
      </c>
      <c r="D843" s="6">
        <v>41994</v>
      </c>
      <c r="E843" s="6">
        <v>43452</v>
      </c>
      <c r="F843" s="6">
        <v>45628</v>
      </c>
      <c r="G843" s="6">
        <v>47311</v>
      </c>
      <c r="H843" s="6">
        <v>48812</v>
      </c>
      <c r="I843" s="1" t="str">
        <f t="shared" si="26"/>
        <v xml:space="preserve"> Tennessee</v>
      </c>
      <c r="J843" s="1" t="str">
        <f t="shared" si="27"/>
        <v>Columbia city</v>
      </c>
      <c r="K843" s="1">
        <f>IF(COUNTIF($I$5:I843,I843)=1,1,0)</f>
        <v>0</v>
      </c>
    </row>
    <row r="844" spans="1:11" x14ac:dyDescent="0.2">
      <c r="A844" s="9">
        <v>840</v>
      </c>
      <c r="B844" s="5" t="s">
        <v>839</v>
      </c>
      <c r="C844" s="6">
        <v>48383</v>
      </c>
      <c r="D844" s="6">
        <v>48333</v>
      </c>
      <c r="E844" s="6">
        <v>48163</v>
      </c>
      <c r="F844" s="6">
        <v>48481</v>
      </c>
      <c r="G844" s="6">
        <v>48839</v>
      </c>
      <c r="H844" s="6">
        <v>48794</v>
      </c>
      <c r="I844" s="1" t="str">
        <f t="shared" si="26"/>
        <v xml:space="preserve"> Wisconsin</v>
      </c>
      <c r="J844" s="1" t="str">
        <f t="shared" si="27"/>
        <v>Wauwatosa city</v>
      </c>
      <c r="K844" s="1">
        <f>IF(COUNTIF($I$5:I844,I844)=1,1,0)</f>
        <v>0</v>
      </c>
    </row>
    <row r="845" spans="1:11" x14ac:dyDescent="0.2">
      <c r="A845" s="9">
        <v>841</v>
      </c>
      <c r="B845" s="5" t="s">
        <v>840</v>
      </c>
      <c r="C845" s="6">
        <v>47400</v>
      </c>
      <c r="D845" s="6">
        <v>47483</v>
      </c>
      <c r="E845" s="6">
        <v>47008</v>
      </c>
      <c r="F845" s="6">
        <v>47876</v>
      </c>
      <c r="G845" s="6">
        <v>48313</v>
      </c>
      <c r="H845" s="6">
        <v>48771</v>
      </c>
      <c r="I845" s="1" t="str">
        <f t="shared" si="26"/>
        <v xml:space="preserve"> Florida</v>
      </c>
      <c r="J845" s="1" t="str">
        <f t="shared" si="27"/>
        <v>Winter Garden city</v>
      </c>
      <c r="K845" s="1">
        <f>IF(COUNTIF($I$5:I845,I845)=1,1,0)</f>
        <v>0</v>
      </c>
    </row>
    <row r="846" spans="1:11" x14ac:dyDescent="0.2">
      <c r="A846" s="9">
        <v>842</v>
      </c>
      <c r="B846" s="5" t="s">
        <v>841</v>
      </c>
      <c r="C846" s="6">
        <v>49949</v>
      </c>
      <c r="D846" s="6">
        <v>49818</v>
      </c>
      <c r="E846" s="6">
        <v>49295</v>
      </c>
      <c r="F846" s="6">
        <v>48954</v>
      </c>
      <c r="G846" s="6">
        <v>48734</v>
      </c>
      <c r="H846" s="6">
        <v>48728</v>
      </c>
      <c r="I846" s="1" t="str">
        <f t="shared" si="26"/>
        <v xml:space="preserve"> Texas</v>
      </c>
      <c r="J846" s="1" t="str">
        <f t="shared" si="27"/>
        <v>Bedford city</v>
      </c>
      <c r="K846" s="1">
        <f>IF(COUNTIF($I$5:I846,I846)=1,1,0)</f>
        <v>0</v>
      </c>
    </row>
    <row r="847" spans="1:11" x14ac:dyDescent="0.2">
      <c r="A847" s="9">
        <v>843</v>
      </c>
      <c r="B847" s="5" t="s">
        <v>842</v>
      </c>
      <c r="C847" s="6">
        <v>45566</v>
      </c>
      <c r="D847" s="6">
        <v>45719</v>
      </c>
      <c r="E847" s="6">
        <v>46966</v>
      </c>
      <c r="F847" s="6">
        <v>48085</v>
      </c>
      <c r="G847" s="6">
        <v>48506</v>
      </c>
      <c r="H847" s="6">
        <v>48684</v>
      </c>
      <c r="I847" s="1" t="str">
        <f t="shared" si="26"/>
        <v xml:space="preserve"> California</v>
      </c>
      <c r="J847" s="1" t="str">
        <f t="shared" si="27"/>
        <v>Los Banos city</v>
      </c>
      <c r="K847" s="1">
        <f>IF(COUNTIF($I$5:I847,I847)=1,1,0)</f>
        <v>0</v>
      </c>
    </row>
    <row r="848" spans="1:11" x14ac:dyDescent="0.2">
      <c r="A848" s="9">
        <v>844</v>
      </c>
      <c r="B848" s="5" t="s">
        <v>843</v>
      </c>
      <c r="C848" s="6">
        <v>41264</v>
      </c>
      <c r="D848" s="6">
        <v>41574</v>
      </c>
      <c r="E848" s="6">
        <v>43483</v>
      </c>
      <c r="F848" s="6">
        <v>45894</v>
      </c>
      <c r="G848" s="6">
        <v>46558</v>
      </c>
      <c r="H848" s="6">
        <v>48674</v>
      </c>
      <c r="I848" s="1" t="str">
        <f t="shared" si="26"/>
        <v xml:space="preserve"> North Carolina</v>
      </c>
      <c r="J848" s="1" t="str">
        <f t="shared" si="27"/>
        <v>Holly Springs town</v>
      </c>
      <c r="K848" s="1">
        <f>IF(COUNTIF($I$5:I848,I848)=1,1,0)</f>
        <v>0</v>
      </c>
    </row>
    <row r="849" spans="1:11" x14ac:dyDescent="0.2">
      <c r="A849" s="9">
        <v>845</v>
      </c>
      <c r="B849" s="5" t="s">
        <v>844</v>
      </c>
      <c r="C849" s="6">
        <v>44932</v>
      </c>
      <c r="D849" s="6">
        <v>45282</v>
      </c>
      <c r="E849" s="6">
        <v>45875</v>
      </c>
      <c r="F849" s="6">
        <v>47556</v>
      </c>
      <c r="G849" s="6">
        <v>47943</v>
      </c>
      <c r="H849" s="6">
        <v>48646</v>
      </c>
      <c r="I849" s="1" t="str">
        <f t="shared" si="26"/>
        <v xml:space="preserve"> Missouri</v>
      </c>
      <c r="J849" s="1" t="str">
        <f t="shared" si="27"/>
        <v>Wentzville city</v>
      </c>
      <c r="K849" s="1">
        <f>IF(COUNTIF($I$5:I849,I849)=1,1,0)</f>
        <v>0</v>
      </c>
    </row>
    <row r="850" spans="1:11" x14ac:dyDescent="0.2">
      <c r="A850" s="9">
        <v>846</v>
      </c>
      <c r="B850" s="5" t="s">
        <v>845</v>
      </c>
      <c r="C850" s="6">
        <v>41127</v>
      </c>
      <c r="D850" s="6">
        <v>41619</v>
      </c>
      <c r="E850" s="6">
        <v>43790</v>
      </c>
      <c r="F850" s="6">
        <v>45524</v>
      </c>
      <c r="G850" s="6">
        <v>47230</v>
      </c>
      <c r="H850" s="6">
        <v>48617</v>
      </c>
      <c r="I850" s="1" t="str">
        <f t="shared" si="26"/>
        <v xml:space="preserve"> Texas</v>
      </c>
      <c r="J850" s="1" t="str">
        <f t="shared" si="27"/>
        <v>Waxahachie city</v>
      </c>
      <c r="K850" s="1">
        <f>IF(COUNTIF($I$5:I850,I850)=1,1,0)</f>
        <v>0</v>
      </c>
    </row>
    <row r="851" spans="1:11" x14ac:dyDescent="0.2">
      <c r="A851" s="9">
        <v>847</v>
      </c>
      <c r="B851" s="5" t="s">
        <v>846</v>
      </c>
      <c r="C851" s="6">
        <v>47727</v>
      </c>
      <c r="D851" s="6">
        <v>46976</v>
      </c>
      <c r="E851" s="6">
        <v>48040</v>
      </c>
      <c r="F851" s="6">
        <v>48025</v>
      </c>
      <c r="G851" s="6">
        <v>48103</v>
      </c>
      <c r="H851" s="6">
        <v>48616</v>
      </c>
      <c r="I851" s="1" t="str">
        <f t="shared" si="26"/>
        <v xml:space="preserve"> Connecticut</v>
      </c>
      <c r="J851" s="1" t="str">
        <f t="shared" si="27"/>
        <v>Middletown city</v>
      </c>
      <c r="K851" s="1">
        <f>IF(COUNTIF($I$5:I851,I851)=1,1,0)</f>
        <v>0</v>
      </c>
    </row>
    <row r="852" spans="1:11" x14ac:dyDescent="0.2">
      <c r="A852" s="9">
        <v>848</v>
      </c>
      <c r="B852" s="5" t="s">
        <v>847</v>
      </c>
      <c r="C852" s="6">
        <v>48456</v>
      </c>
      <c r="D852" s="6">
        <v>48461</v>
      </c>
      <c r="E852" s="6">
        <v>48147</v>
      </c>
      <c r="F852" s="6">
        <v>48132</v>
      </c>
      <c r="G852" s="6">
        <v>48519</v>
      </c>
      <c r="H852" s="6">
        <v>48579</v>
      </c>
      <c r="I852" s="1" t="str">
        <f t="shared" si="26"/>
        <v xml:space="preserve"> North Carolina</v>
      </c>
      <c r="J852" s="1" t="str">
        <f t="shared" si="27"/>
        <v>Wilson city</v>
      </c>
      <c r="K852" s="1">
        <f>IF(COUNTIF($I$5:I852,I852)=1,1,0)</f>
        <v>0</v>
      </c>
    </row>
    <row r="853" spans="1:11" x14ac:dyDescent="0.2">
      <c r="A853" s="9">
        <v>849</v>
      </c>
      <c r="B853" s="5" t="s">
        <v>848</v>
      </c>
      <c r="C853" s="6">
        <v>48738</v>
      </c>
      <c r="D853" s="6">
        <v>48752</v>
      </c>
      <c r="E853" s="6">
        <v>48599</v>
      </c>
      <c r="F853" s="6">
        <v>48618</v>
      </c>
      <c r="G853" s="6">
        <v>48601</v>
      </c>
      <c r="H853" s="6">
        <v>48522</v>
      </c>
      <c r="I853" s="1" t="str">
        <f t="shared" si="26"/>
        <v xml:space="preserve"> Mississippi</v>
      </c>
      <c r="J853" s="1" t="str">
        <f t="shared" si="27"/>
        <v>Hattiesburg city</v>
      </c>
      <c r="K853" s="1">
        <f>IF(COUNTIF($I$5:I853,I853)=1,1,0)</f>
        <v>0</v>
      </c>
    </row>
    <row r="854" spans="1:11" x14ac:dyDescent="0.2">
      <c r="A854" s="9">
        <v>850</v>
      </c>
      <c r="B854" s="5" t="s">
        <v>849</v>
      </c>
      <c r="C854" s="6">
        <v>49689</v>
      </c>
      <c r="D854" s="6">
        <v>49586</v>
      </c>
      <c r="E854" s="6">
        <v>49057</v>
      </c>
      <c r="F854" s="6">
        <v>48603</v>
      </c>
      <c r="G854" s="6">
        <v>48439</v>
      </c>
      <c r="H854" s="6">
        <v>48421</v>
      </c>
      <c r="I854" s="1" t="str">
        <f t="shared" si="26"/>
        <v xml:space="preserve"> Ohio</v>
      </c>
      <c r="J854" s="1" t="str">
        <f t="shared" si="27"/>
        <v>Euclid city</v>
      </c>
      <c r="K854" s="1">
        <f>IF(COUNTIF($I$5:I854,I854)=1,1,0)</f>
        <v>0</v>
      </c>
    </row>
    <row r="855" spans="1:11" x14ac:dyDescent="0.2">
      <c r="A855" s="9">
        <v>851</v>
      </c>
      <c r="B855" s="5" t="s">
        <v>850</v>
      </c>
      <c r="C855" s="6">
        <v>43710</v>
      </c>
      <c r="D855" s="6">
        <v>44073</v>
      </c>
      <c r="E855" s="6">
        <v>44723</v>
      </c>
      <c r="F855" s="6">
        <v>45678</v>
      </c>
      <c r="G855" s="6">
        <v>47211</v>
      </c>
      <c r="H855" s="6">
        <v>48401</v>
      </c>
      <c r="I855" s="1" t="str">
        <f t="shared" si="26"/>
        <v xml:space="preserve"> Minnesota</v>
      </c>
      <c r="J855" s="1" t="str">
        <f t="shared" si="27"/>
        <v>Shakopee city</v>
      </c>
      <c r="K855" s="1">
        <f>IF(COUNTIF($I$5:I855,I855)=1,1,0)</f>
        <v>0</v>
      </c>
    </row>
    <row r="856" spans="1:11" x14ac:dyDescent="0.2">
      <c r="A856" s="9">
        <v>852</v>
      </c>
      <c r="B856" s="5" t="s">
        <v>851</v>
      </c>
      <c r="C856" s="6">
        <v>50349</v>
      </c>
      <c r="D856" s="6">
        <v>50204</v>
      </c>
      <c r="E856" s="6">
        <v>49249</v>
      </c>
      <c r="F856" s="6">
        <v>48746</v>
      </c>
      <c r="G856" s="6">
        <v>48566</v>
      </c>
      <c r="H856" s="6">
        <v>48383</v>
      </c>
      <c r="I856" s="1" t="str">
        <f t="shared" si="26"/>
        <v xml:space="preserve"> California</v>
      </c>
      <c r="J856" s="1" t="str">
        <f t="shared" si="27"/>
        <v>Azusa city</v>
      </c>
      <c r="K856" s="1">
        <f>IF(COUNTIF($I$5:I856,I856)=1,1,0)</f>
        <v>0</v>
      </c>
    </row>
    <row r="857" spans="1:11" x14ac:dyDescent="0.2">
      <c r="A857" s="9">
        <v>853</v>
      </c>
      <c r="B857" s="5" t="s">
        <v>852</v>
      </c>
      <c r="C857" s="6">
        <v>45903</v>
      </c>
      <c r="D857" s="6">
        <v>46075</v>
      </c>
      <c r="E857" s="6">
        <v>47159</v>
      </c>
      <c r="F857" s="6">
        <v>47643</v>
      </c>
      <c r="G857" s="6">
        <v>47902</v>
      </c>
      <c r="H857" s="6">
        <v>48224</v>
      </c>
      <c r="I857" s="1" t="str">
        <f t="shared" si="26"/>
        <v xml:space="preserve"> Arizona</v>
      </c>
      <c r="J857" s="1" t="str">
        <f t="shared" si="27"/>
        <v>Prescott city</v>
      </c>
      <c r="K857" s="1">
        <f>IF(COUNTIF($I$5:I857,I857)=1,1,0)</f>
        <v>0</v>
      </c>
    </row>
    <row r="858" spans="1:11" x14ac:dyDescent="0.2">
      <c r="A858" s="9">
        <v>854</v>
      </c>
      <c r="B858" s="5" t="s">
        <v>853</v>
      </c>
      <c r="C858" s="6">
        <v>49442</v>
      </c>
      <c r="D858" s="6">
        <v>49428</v>
      </c>
      <c r="E858" s="6">
        <v>49178</v>
      </c>
      <c r="F858" s="6">
        <v>49111</v>
      </c>
      <c r="G858" s="6">
        <v>48407</v>
      </c>
      <c r="H858" s="6">
        <v>48144</v>
      </c>
      <c r="I858" s="1" t="str">
        <f t="shared" si="26"/>
        <v xml:space="preserve"> Mississippi</v>
      </c>
      <c r="J858" s="1" t="str">
        <f t="shared" si="27"/>
        <v>Biloxi city</v>
      </c>
      <c r="K858" s="1">
        <f>IF(COUNTIF($I$5:I858,I858)=1,1,0)</f>
        <v>0</v>
      </c>
    </row>
    <row r="859" spans="1:11" x14ac:dyDescent="0.2">
      <c r="A859" s="9">
        <v>855</v>
      </c>
      <c r="B859" s="5" t="s">
        <v>854</v>
      </c>
      <c r="C859" s="6">
        <v>46562</v>
      </c>
      <c r="D859" s="6">
        <v>46612</v>
      </c>
      <c r="E859" s="6">
        <v>46759</v>
      </c>
      <c r="F859" s="6">
        <v>47006</v>
      </c>
      <c r="G859" s="6">
        <v>47327</v>
      </c>
      <c r="H859" s="6">
        <v>48012</v>
      </c>
      <c r="I859" s="1" t="str">
        <f t="shared" si="26"/>
        <v xml:space="preserve"> Ohio</v>
      </c>
      <c r="J859" s="1" t="str">
        <f t="shared" si="27"/>
        <v>Beavercreek city</v>
      </c>
      <c r="K859" s="1">
        <f>IF(COUNTIF($I$5:I859,I859)=1,1,0)</f>
        <v>0</v>
      </c>
    </row>
    <row r="860" spans="1:11" x14ac:dyDescent="0.2">
      <c r="A860" s="9">
        <v>856</v>
      </c>
      <c r="B860" s="5" t="s">
        <v>855</v>
      </c>
      <c r="C860" s="6">
        <v>47130</v>
      </c>
      <c r="D860" s="6">
        <v>47052</v>
      </c>
      <c r="E860" s="6">
        <v>46928</v>
      </c>
      <c r="F860" s="6">
        <v>47105</v>
      </c>
      <c r="G860" s="6">
        <v>47368</v>
      </c>
      <c r="H860" s="6">
        <v>47961</v>
      </c>
      <c r="I860" s="1" t="str">
        <f t="shared" si="26"/>
        <v xml:space="preserve"> Rhode Island</v>
      </c>
      <c r="J860" s="1" t="str">
        <f t="shared" si="27"/>
        <v>East Providence city</v>
      </c>
      <c r="K860" s="1">
        <f>IF(COUNTIF($I$5:I860,I860)=1,1,0)</f>
        <v>0</v>
      </c>
    </row>
    <row r="861" spans="1:11" x14ac:dyDescent="0.2">
      <c r="A861" s="9">
        <v>857</v>
      </c>
      <c r="B861" s="5" t="s">
        <v>856</v>
      </c>
      <c r="C861" s="6">
        <v>47300</v>
      </c>
      <c r="D861" s="6">
        <v>47242</v>
      </c>
      <c r="E861" s="6">
        <v>46870</v>
      </c>
      <c r="F861" s="6">
        <v>47408</v>
      </c>
      <c r="G861" s="6">
        <v>47908</v>
      </c>
      <c r="H861" s="6">
        <v>47844</v>
      </c>
      <c r="I861" s="1" t="str">
        <f t="shared" si="26"/>
        <v xml:space="preserve"> California</v>
      </c>
      <c r="J861" s="1" t="str">
        <f t="shared" si="27"/>
        <v>Brea city</v>
      </c>
      <c r="K861" s="1">
        <f>IF(COUNTIF($I$5:I861,I861)=1,1,0)</f>
        <v>0</v>
      </c>
    </row>
    <row r="862" spans="1:11" x14ac:dyDescent="0.2">
      <c r="A862" s="9">
        <v>858</v>
      </c>
      <c r="B862" s="5" t="s">
        <v>857</v>
      </c>
      <c r="C862" s="6">
        <v>42621</v>
      </c>
      <c r="D862" s="6">
        <v>42759</v>
      </c>
      <c r="E862" s="6">
        <v>43858</v>
      </c>
      <c r="F862" s="6">
        <v>44287</v>
      </c>
      <c r="G862" s="6">
        <v>45965</v>
      </c>
      <c r="H862" s="6">
        <v>47809</v>
      </c>
      <c r="I862" s="1" t="str">
        <f t="shared" si="26"/>
        <v xml:space="preserve"> Utah</v>
      </c>
      <c r="J862" s="1" t="str">
        <f t="shared" si="27"/>
        <v>Spanish Fork city</v>
      </c>
      <c r="K862" s="1">
        <f>IF(COUNTIF($I$5:I862,I862)=1,1,0)</f>
        <v>0</v>
      </c>
    </row>
    <row r="863" spans="1:11" x14ac:dyDescent="0.2">
      <c r="A863" s="9">
        <v>859</v>
      </c>
      <c r="B863" s="5" t="s">
        <v>858</v>
      </c>
      <c r="C863" s="6">
        <v>45577</v>
      </c>
      <c r="D863" s="6">
        <v>45577</v>
      </c>
      <c r="E863" s="6">
        <v>45998</v>
      </c>
      <c r="F863" s="6">
        <v>46650</v>
      </c>
      <c r="G863" s="6">
        <v>46931</v>
      </c>
      <c r="H863" s="6">
        <v>47759</v>
      </c>
      <c r="I863" s="1" t="str">
        <f t="shared" si="26"/>
        <v xml:space="preserve"> Iowa</v>
      </c>
      <c r="J863" s="1" t="str">
        <f t="shared" si="27"/>
        <v>Urbandale city</v>
      </c>
      <c r="K863" s="1">
        <f>IF(COUNTIF($I$5:I863,I863)=1,1,0)</f>
        <v>0</v>
      </c>
    </row>
    <row r="864" spans="1:11" x14ac:dyDescent="0.2">
      <c r="A864" s="9">
        <v>860</v>
      </c>
      <c r="B864" s="5" t="s">
        <v>859</v>
      </c>
      <c r="C864" s="6">
        <v>41976</v>
      </c>
      <c r="D864" s="6">
        <v>42202</v>
      </c>
      <c r="E864" s="6">
        <v>43073</v>
      </c>
      <c r="F864" s="6">
        <v>45053</v>
      </c>
      <c r="G864" s="6">
        <v>47149</v>
      </c>
      <c r="H864" s="6">
        <v>47712</v>
      </c>
      <c r="I864" s="1" t="str">
        <f t="shared" si="26"/>
        <v xml:space="preserve"> Georgia</v>
      </c>
      <c r="J864" s="1" t="str">
        <f t="shared" si="27"/>
        <v>Gainesville city</v>
      </c>
      <c r="K864" s="1">
        <f>IF(COUNTIF($I$5:I864,I864)=1,1,0)</f>
        <v>0</v>
      </c>
    </row>
    <row r="865" spans="1:11" x14ac:dyDescent="0.2">
      <c r="A865" s="9">
        <v>861</v>
      </c>
      <c r="B865" s="5" t="s">
        <v>860</v>
      </c>
      <c r="C865" s="6">
        <v>48721</v>
      </c>
      <c r="D865" s="6">
        <v>48554</v>
      </c>
      <c r="E865" s="6">
        <v>47800</v>
      </c>
      <c r="F865" s="6">
        <v>47335</v>
      </c>
      <c r="G865" s="6">
        <v>47280</v>
      </c>
      <c r="H865" s="6">
        <v>47634</v>
      </c>
      <c r="I865" s="1" t="str">
        <f t="shared" si="26"/>
        <v xml:space="preserve"> Illinois</v>
      </c>
      <c r="J865" s="1" t="str">
        <f t="shared" si="27"/>
        <v>Glenview village</v>
      </c>
      <c r="K865" s="1">
        <f>IF(COUNTIF($I$5:I865,I865)=1,1,0)</f>
        <v>0</v>
      </c>
    </row>
    <row r="866" spans="1:11" x14ac:dyDescent="0.2">
      <c r="A866" s="9">
        <v>862</v>
      </c>
      <c r="B866" s="5" t="s">
        <v>861</v>
      </c>
      <c r="C866" s="6">
        <v>47530</v>
      </c>
      <c r="D866" s="6">
        <v>47525</v>
      </c>
      <c r="E866" s="6">
        <v>47690</v>
      </c>
      <c r="F866" s="6">
        <v>47823</v>
      </c>
      <c r="G866" s="6">
        <v>47676</v>
      </c>
      <c r="H866" s="6">
        <v>47593</v>
      </c>
      <c r="I866" s="1" t="str">
        <f t="shared" si="26"/>
        <v xml:space="preserve"> Ohio</v>
      </c>
      <c r="J866" s="1" t="str">
        <f t="shared" si="27"/>
        <v>Mansfield city</v>
      </c>
      <c r="K866" s="1">
        <f>IF(COUNTIF($I$5:I866,I866)=1,1,0)</f>
        <v>0</v>
      </c>
    </row>
    <row r="867" spans="1:11" x14ac:dyDescent="0.2">
      <c r="A867" s="9">
        <v>863</v>
      </c>
      <c r="B867" s="5" t="s">
        <v>862</v>
      </c>
      <c r="C867" s="6">
        <v>48668</v>
      </c>
      <c r="D867" s="6">
        <v>48520</v>
      </c>
      <c r="E867" s="6">
        <v>48316</v>
      </c>
      <c r="F867" s="6">
        <v>47907</v>
      </c>
      <c r="G867" s="6">
        <v>47643</v>
      </c>
      <c r="H867" s="6">
        <v>47512</v>
      </c>
      <c r="I867" s="1" t="str">
        <f t="shared" si="26"/>
        <v xml:space="preserve"> New York</v>
      </c>
      <c r="J867" s="1" t="str">
        <f t="shared" si="27"/>
        <v>Niagara Falls city</v>
      </c>
      <c r="K867" s="1">
        <f>IF(COUNTIF($I$5:I867,I867)=1,1,0)</f>
        <v>0</v>
      </c>
    </row>
    <row r="868" spans="1:11" x14ac:dyDescent="0.2">
      <c r="A868" s="9">
        <v>864</v>
      </c>
      <c r="B868" s="5" t="s">
        <v>863</v>
      </c>
      <c r="C868" s="6">
        <v>48386</v>
      </c>
      <c r="D868" s="6">
        <v>48388</v>
      </c>
      <c r="E868" s="6">
        <v>47988</v>
      </c>
      <c r="F868" s="6">
        <v>47685</v>
      </c>
      <c r="G868" s="6">
        <v>47420</v>
      </c>
      <c r="H868" s="6">
        <v>47440</v>
      </c>
      <c r="I868" s="1" t="str">
        <f t="shared" si="26"/>
        <v xml:space="preserve"> North Dakota</v>
      </c>
      <c r="J868" s="1" t="str">
        <f t="shared" si="27"/>
        <v>Minot city</v>
      </c>
      <c r="K868" s="1">
        <f>IF(COUNTIF($I$5:I868,I868)=1,1,0)</f>
        <v>0</v>
      </c>
    </row>
    <row r="869" spans="1:11" x14ac:dyDescent="0.2">
      <c r="A869" s="9">
        <v>865</v>
      </c>
      <c r="B869" s="5" t="s">
        <v>864</v>
      </c>
      <c r="C869" s="6">
        <v>46395</v>
      </c>
      <c r="D869" s="6">
        <v>46562</v>
      </c>
      <c r="E869" s="6">
        <v>46931</v>
      </c>
      <c r="F869" s="6">
        <v>47052</v>
      </c>
      <c r="G869" s="6">
        <v>47195</v>
      </c>
      <c r="H869" s="6">
        <v>47365</v>
      </c>
      <c r="I869" s="1" t="str">
        <f t="shared" si="26"/>
        <v xml:space="preserve"> Mississippi</v>
      </c>
      <c r="J869" s="1" t="str">
        <f t="shared" si="27"/>
        <v>Olive Branch city</v>
      </c>
      <c r="K869" s="1">
        <f>IF(COUNTIF($I$5:I869,I869)=1,1,0)</f>
        <v>0</v>
      </c>
    </row>
    <row r="870" spans="1:11" x14ac:dyDescent="0.2">
      <c r="A870" s="9">
        <v>866</v>
      </c>
      <c r="B870" s="5" t="s">
        <v>865</v>
      </c>
      <c r="C870" s="6">
        <v>46254</v>
      </c>
      <c r="D870" s="6">
        <v>46172</v>
      </c>
      <c r="E870" s="6">
        <v>45529</v>
      </c>
      <c r="F870" s="6">
        <v>45770</v>
      </c>
      <c r="G870" s="6">
        <v>45731</v>
      </c>
      <c r="H870" s="6">
        <v>47261</v>
      </c>
      <c r="I870" s="1" t="str">
        <f t="shared" si="26"/>
        <v xml:space="preserve"> Florida</v>
      </c>
      <c r="J870" s="1" t="str">
        <f t="shared" si="27"/>
        <v>Altamonte Springs city</v>
      </c>
      <c r="K870" s="1">
        <f>IF(COUNTIF($I$5:I870,I870)=1,1,0)</f>
        <v>0</v>
      </c>
    </row>
    <row r="871" spans="1:11" x14ac:dyDescent="0.2">
      <c r="A871" s="9">
        <v>867</v>
      </c>
      <c r="B871" s="5" t="s">
        <v>866</v>
      </c>
      <c r="C871" s="6">
        <v>48448</v>
      </c>
      <c r="D871" s="6">
        <v>48439</v>
      </c>
      <c r="E871" s="6">
        <v>48013</v>
      </c>
      <c r="F871" s="6">
        <v>47402</v>
      </c>
      <c r="G871" s="6">
        <v>47189</v>
      </c>
      <c r="H871" s="6">
        <v>47176</v>
      </c>
      <c r="I871" s="1" t="str">
        <f t="shared" si="26"/>
        <v xml:space="preserve"> New Mexico</v>
      </c>
      <c r="J871" s="1" t="str">
        <f t="shared" si="27"/>
        <v>Roswell city</v>
      </c>
      <c r="K871" s="1">
        <f>IF(COUNTIF($I$5:I871,I871)=1,1,0)</f>
        <v>0</v>
      </c>
    </row>
    <row r="872" spans="1:11" x14ac:dyDescent="0.2">
      <c r="A872" s="9">
        <v>868</v>
      </c>
      <c r="B872" s="5" t="s">
        <v>867</v>
      </c>
      <c r="C872" s="6">
        <v>45337</v>
      </c>
      <c r="D872" s="6">
        <v>45213</v>
      </c>
      <c r="E872" s="6">
        <v>45194</v>
      </c>
      <c r="F872" s="6">
        <v>45401</v>
      </c>
      <c r="G872" s="6">
        <v>46153</v>
      </c>
      <c r="H872" s="6">
        <v>47165</v>
      </c>
      <c r="I872" s="1" t="str">
        <f t="shared" si="26"/>
        <v xml:space="preserve"> New Jersey</v>
      </c>
      <c r="J872" s="1" t="str">
        <f t="shared" si="27"/>
        <v>Sayreville borough</v>
      </c>
      <c r="K872" s="1">
        <f>IF(COUNTIF($I$5:I872,I872)=1,1,0)</f>
        <v>0</v>
      </c>
    </row>
    <row r="873" spans="1:11" x14ac:dyDescent="0.2">
      <c r="A873" s="9">
        <v>869</v>
      </c>
      <c r="B873" s="5" t="s">
        <v>868</v>
      </c>
      <c r="C873" s="6">
        <v>43354</v>
      </c>
      <c r="D873" s="6">
        <v>43482</v>
      </c>
      <c r="E873" s="6">
        <v>44200</v>
      </c>
      <c r="F873" s="6">
        <v>45061</v>
      </c>
      <c r="G873" s="6">
        <v>45976</v>
      </c>
      <c r="H873" s="6">
        <v>47158</v>
      </c>
      <c r="I873" s="1" t="str">
        <f t="shared" si="26"/>
        <v xml:space="preserve"> California</v>
      </c>
      <c r="J873" s="1" t="str">
        <f t="shared" si="27"/>
        <v>Oakley city</v>
      </c>
      <c r="K873" s="1">
        <f>IF(COUNTIF($I$5:I873,I873)=1,1,0)</f>
        <v>0</v>
      </c>
    </row>
    <row r="874" spans="1:11" x14ac:dyDescent="0.2">
      <c r="A874" s="9">
        <v>870</v>
      </c>
      <c r="B874" s="5" t="s">
        <v>869</v>
      </c>
      <c r="C874" s="6">
        <v>47442</v>
      </c>
      <c r="D874" s="6">
        <v>47428</v>
      </c>
      <c r="E874" s="6">
        <v>47294</v>
      </c>
      <c r="F874" s="6">
        <v>47076</v>
      </c>
      <c r="G874" s="6">
        <v>47000</v>
      </c>
      <c r="H874" s="6">
        <v>47113</v>
      </c>
      <c r="I874" s="1" t="str">
        <f t="shared" si="26"/>
        <v xml:space="preserve"> Ohio</v>
      </c>
      <c r="J874" s="1" t="str">
        <f t="shared" si="27"/>
        <v>Mentor city</v>
      </c>
      <c r="K874" s="1">
        <f>IF(COUNTIF($I$5:I874,I874)=1,1,0)</f>
        <v>0</v>
      </c>
    </row>
    <row r="875" spans="1:11" x14ac:dyDescent="0.2">
      <c r="A875" s="9">
        <v>871</v>
      </c>
      <c r="B875" s="5" t="s">
        <v>870</v>
      </c>
      <c r="C875" s="6">
        <v>46471</v>
      </c>
      <c r="D875" s="6">
        <v>46478</v>
      </c>
      <c r="E875" s="6">
        <v>46631</v>
      </c>
      <c r="F875" s="6">
        <v>46680</v>
      </c>
      <c r="G875" s="6">
        <v>46866</v>
      </c>
      <c r="H875" s="6">
        <v>47085</v>
      </c>
      <c r="I875" s="1" t="str">
        <f t="shared" si="26"/>
        <v xml:space="preserve"> Massachusetts</v>
      </c>
      <c r="J875" s="1" t="str">
        <f t="shared" si="27"/>
        <v>Attleboro city</v>
      </c>
      <c r="K875" s="1">
        <f>IF(COUNTIF($I$5:I875,I875)=1,1,0)</f>
        <v>0</v>
      </c>
    </row>
    <row r="876" spans="1:11" x14ac:dyDescent="0.2">
      <c r="A876" s="9">
        <v>872</v>
      </c>
      <c r="B876" s="5" t="s">
        <v>871</v>
      </c>
      <c r="C876" s="6">
        <v>47713</v>
      </c>
      <c r="D876" s="6">
        <v>47619</v>
      </c>
      <c r="E876" s="6">
        <v>47222</v>
      </c>
      <c r="F876" s="6">
        <v>46864</v>
      </c>
      <c r="G876" s="6">
        <v>46850</v>
      </c>
      <c r="H876" s="6">
        <v>47047</v>
      </c>
      <c r="I876" s="1" t="str">
        <f t="shared" si="26"/>
        <v xml:space="preserve"> Michigan</v>
      </c>
      <c r="J876" s="1" t="str">
        <f t="shared" si="27"/>
        <v>Roseville city</v>
      </c>
      <c r="K876" s="1">
        <f>IF(COUNTIF($I$5:I876,I876)=1,1,0)</f>
        <v>0</v>
      </c>
    </row>
    <row r="877" spans="1:11" x14ac:dyDescent="0.2">
      <c r="A877" s="9">
        <v>873</v>
      </c>
      <c r="B877" s="5" t="s">
        <v>872</v>
      </c>
      <c r="C877" s="6">
        <v>49566</v>
      </c>
      <c r="D877" s="6">
        <v>49394</v>
      </c>
      <c r="E877" s="6">
        <v>48320</v>
      </c>
      <c r="F877" s="6">
        <v>47593</v>
      </c>
      <c r="G877" s="6">
        <v>47111</v>
      </c>
      <c r="H877" s="6">
        <v>46851</v>
      </c>
      <c r="I877" s="1" t="str">
        <f t="shared" si="26"/>
        <v xml:space="preserve"> California</v>
      </c>
      <c r="J877" s="1" t="str">
        <f t="shared" si="27"/>
        <v>Cerritos city</v>
      </c>
      <c r="K877" s="1">
        <f>IF(COUNTIF($I$5:I877,I877)=1,1,0)</f>
        <v>0</v>
      </c>
    </row>
    <row r="878" spans="1:11" x14ac:dyDescent="0.2">
      <c r="A878" s="9">
        <v>874</v>
      </c>
      <c r="B878" s="5" t="s">
        <v>873</v>
      </c>
      <c r="C878" s="6">
        <v>47945</v>
      </c>
      <c r="D878" s="6">
        <v>47779</v>
      </c>
      <c r="E878" s="6">
        <v>47460</v>
      </c>
      <c r="F878" s="6">
        <v>47054</v>
      </c>
      <c r="G878" s="6">
        <v>46765</v>
      </c>
      <c r="H878" s="6">
        <v>46773</v>
      </c>
      <c r="I878" s="1" t="str">
        <f t="shared" si="26"/>
        <v xml:space="preserve"> New York</v>
      </c>
      <c r="J878" s="1" t="str">
        <f t="shared" si="27"/>
        <v>Binghamton city</v>
      </c>
      <c r="K878" s="1">
        <f>IF(COUNTIF($I$5:I878,I878)=1,1,0)</f>
        <v>0</v>
      </c>
    </row>
    <row r="879" spans="1:11" x14ac:dyDescent="0.2">
      <c r="A879" s="9">
        <v>875</v>
      </c>
      <c r="B879" s="5" t="s">
        <v>874</v>
      </c>
      <c r="C879" s="6">
        <v>45290</v>
      </c>
      <c r="D879" s="6">
        <v>45294</v>
      </c>
      <c r="E879" s="6">
        <v>45126</v>
      </c>
      <c r="F879" s="6">
        <v>44792</v>
      </c>
      <c r="G879" s="6">
        <v>45357</v>
      </c>
      <c r="H879" s="6">
        <v>46680</v>
      </c>
      <c r="I879" s="1" t="str">
        <f t="shared" si="26"/>
        <v xml:space="preserve"> Utah</v>
      </c>
      <c r="J879" s="1" t="str">
        <f t="shared" si="27"/>
        <v>Riverton city</v>
      </c>
      <c r="K879" s="1">
        <f>IF(COUNTIF($I$5:I879,I879)=1,1,0)</f>
        <v>0</v>
      </c>
    </row>
    <row r="880" spans="1:11" x14ac:dyDescent="0.2">
      <c r="A880" s="9">
        <v>876</v>
      </c>
      <c r="B880" s="5" t="s">
        <v>875</v>
      </c>
      <c r="C880" s="6">
        <v>45764</v>
      </c>
      <c r="D880" s="6">
        <v>45718</v>
      </c>
      <c r="E880" s="6">
        <v>45461</v>
      </c>
      <c r="F880" s="6">
        <v>45374</v>
      </c>
      <c r="G880" s="6">
        <v>46648</v>
      </c>
      <c r="H880" s="6">
        <v>46643</v>
      </c>
      <c r="I880" s="1" t="str">
        <f t="shared" si="26"/>
        <v xml:space="preserve"> Texas</v>
      </c>
      <c r="J880" s="1" t="str">
        <f t="shared" si="27"/>
        <v>Keller city</v>
      </c>
      <c r="K880" s="1">
        <f>IF(COUNTIF($I$5:I880,I880)=1,1,0)</f>
        <v>0</v>
      </c>
    </row>
    <row r="881" spans="1:11" x14ac:dyDescent="0.2">
      <c r="A881" s="9">
        <v>877</v>
      </c>
      <c r="B881" s="5" t="s">
        <v>876</v>
      </c>
      <c r="C881" s="6">
        <v>46032</v>
      </c>
      <c r="D881" s="6">
        <v>45908</v>
      </c>
      <c r="E881" s="6">
        <v>45777</v>
      </c>
      <c r="F881" s="6">
        <v>45793</v>
      </c>
      <c r="G881" s="6">
        <v>46155</v>
      </c>
      <c r="H881" s="6">
        <v>46630</v>
      </c>
      <c r="I881" s="1" t="str">
        <f t="shared" si="26"/>
        <v xml:space="preserve"> New Jersey</v>
      </c>
      <c r="J881" s="1" t="str">
        <f t="shared" si="27"/>
        <v>Hackensack city</v>
      </c>
      <c r="K881" s="1">
        <f>IF(COUNTIF($I$5:I881,I881)=1,1,0)</f>
        <v>0</v>
      </c>
    </row>
    <row r="882" spans="1:11" x14ac:dyDescent="0.2">
      <c r="A882" s="9">
        <v>878</v>
      </c>
      <c r="B882" s="5" t="s">
        <v>877</v>
      </c>
      <c r="C882" s="6">
        <v>47706</v>
      </c>
      <c r="D882" s="6">
        <v>47620</v>
      </c>
      <c r="E882" s="6">
        <v>47211</v>
      </c>
      <c r="F882" s="6">
        <v>46861</v>
      </c>
      <c r="G882" s="6">
        <v>46670</v>
      </c>
      <c r="H882" s="6">
        <v>46622</v>
      </c>
      <c r="I882" s="1" t="str">
        <f t="shared" si="26"/>
        <v xml:space="preserve"> Louisiana</v>
      </c>
      <c r="J882" s="1" t="str">
        <f t="shared" si="27"/>
        <v>Monroe city</v>
      </c>
      <c r="K882" s="1">
        <f>IF(COUNTIF($I$5:I882,I882)=1,1,0)</f>
        <v>0</v>
      </c>
    </row>
    <row r="883" spans="1:11" x14ac:dyDescent="0.2">
      <c r="A883" s="9">
        <v>879</v>
      </c>
      <c r="B883" s="5" t="s">
        <v>878</v>
      </c>
      <c r="C883" s="6">
        <v>41327</v>
      </c>
      <c r="D883" s="6">
        <v>41712</v>
      </c>
      <c r="E883" s="6">
        <v>43022</v>
      </c>
      <c r="F883" s="6">
        <v>44071</v>
      </c>
      <c r="G883" s="6">
        <v>45364</v>
      </c>
      <c r="H883" s="6">
        <v>46521</v>
      </c>
      <c r="I883" s="1" t="str">
        <f t="shared" si="26"/>
        <v xml:space="preserve"> Ohio</v>
      </c>
      <c r="J883" s="1" t="str">
        <f t="shared" si="27"/>
        <v>Delaware city</v>
      </c>
      <c r="K883" s="1">
        <f>IF(COUNTIF($I$5:I883,I883)=1,1,0)</f>
        <v>0</v>
      </c>
    </row>
    <row r="884" spans="1:11" x14ac:dyDescent="0.2">
      <c r="A884" s="9">
        <v>880</v>
      </c>
      <c r="B884" s="5" t="s">
        <v>879</v>
      </c>
      <c r="C884" s="6">
        <v>48810</v>
      </c>
      <c r="D884" s="6">
        <v>48639</v>
      </c>
      <c r="E884" s="6">
        <v>47949</v>
      </c>
      <c r="F884" s="6">
        <v>47228</v>
      </c>
      <c r="G884" s="6">
        <v>46787</v>
      </c>
      <c r="H884" s="6">
        <v>46482</v>
      </c>
      <c r="I884" s="1" t="str">
        <f t="shared" si="26"/>
        <v xml:space="preserve"> West Virginia</v>
      </c>
      <c r="J884" s="1" t="str">
        <f t="shared" si="27"/>
        <v>Charleston city</v>
      </c>
      <c r="K884" s="1">
        <f>IF(COUNTIF($I$5:I884,I884)=1,1,0)</f>
        <v>1</v>
      </c>
    </row>
    <row r="885" spans="1:11" x14ac:dyDescent="0.2">
      <c r="A885" s="9">
        <v>881</v>
      </c>
      <c r="B885" s="5" t="s">
        <v>880</v>
      </c>
      <c r="C885" s="6">
        <v>44575</v>
      </c>
      <c r="D885" s="6">
        <v>44637</v>
      </c>
      <c r="E885" s="6">
        <v>44913</v>
      </c>
      <c r="F885" s="6">
        <v>45238</v>
      </c>
      <c r="G885" s="6">
        <v>46076</v>
      </c>
      <c r="H885" s="6">
        <v>46459</v>
      </c>
      <c r="I885" s="1" t="str">
        <f t="shared" si="26"/>
        <v xml:space="preserve"> Minnesota</v>
      </c>
      <c r="J885" s="1" t="str">
        <f t="shared" si="27"/>
        <v>Mankato city</v>
      </c>
      <c r="K885" s="1">
        <f>IF(COUNTIF($I$5:I885,I885)=1,1,0)</f>
        <v>0</v>
      </c>
    </row>
    <row r="886" spans="1:11" x14ac:dyDescent="0.2">
      <c r="A886" s="9">
        <v>882</v>
      </c>
      <c r="B886" s="5" t="s">
        <v>881</v>
      </c>
      <c r="C886" s="6">
        <v>48682</v>
      </c>
      <c r="D886" s="6">
        <v>48537</v>
      </c>
      <c r="E886" s="6">
        <v>47640</v>
      </c>
      <c r="F886" s="6">
        <v>46953</v>
      </c>
      <c r="G886" s="6">
        <v>46547</v>
      </c>
      <c r="H886" s="6">
        <v>46367</v>
      </c>
      <c r="I886" s="1" t="str">
        <f t="shared" si="26"/>
        <v xml:space="preserve"> California</v>
      </c>
      <c r="J886" s="1" t="str">
        <f t="shared" si="27"/>
        <v>La Mirada city</v>
      </c>
      <c r="K886" s="1">
        <f>IF(COUNTIF($I$5:I886,I886)=1,1,0)</f>
        <v>0</v>
      </c>
    </row>
    <row r="887" spans="1:11" x14ac:dyDescent="0.2">
      <c r="A887" s="9">
        <v>883</v>
      </c>
      <c r="B887" s="5" t="s">
        <v>882</v>
      </c>
      <c r="C887" s="6">
        <v>47960</v>
      </c>
      <c r="D887" s="6">
        <v>47868</v>
      </c>
      <c r="E887" s="6">
        <v>47331</v>
      </c>
      <c r="F887" s="6">
        <v>46872</v>
      </c>
      <c r="G887" s="6">
        <v>46462</v>
      </c>
      <c r="H887" s="6">
        <v>46353</v>
      </c>
      <c r="I887" s="1" t="str">
        <f t="shared" si="26"/>
        <v xml:space="preserve"> California</v>
      </c>
      <c r="J887" s="1" t="str">
        <f t="shared" si="27"/>
        <v>Rancho Santa Margarita city</v>
      </c>
      <c r="K887" s="1">
        <f>IF(COUNTIF($I$5:I887,I887)=1,1,0)</f>
        <v>0</v>
      </c>
    </row>
    <row r="888" spans="1:11" x14ac:dyDescent="0.2">
      <c r="A888" s="9">
        <v>884</v>
      </c>
      <c r="B888" s="5" t="s">
        <v>883</v>
      </c>
      <c r="C888" s="6">
        <v>44503</v>
      </c>
      <c r="D888" s="6">
        <v>44664</v>
      </c>
      <c r="E888" s="6">
        <v>44943</v>
      </c>
      <c r="F888" s="6">
        <v>45097</v>
      </c>
      <c r="G888" s="6">
        <v>45193</v>
      </c>
      <c r="H888" s="6">
        <v>46338</v>
      </c>
      <c r="I888" s="1" t="str">
        <f t="shared" si="26"/>
        <v xml:space="preserve"> Indiana</v>
      </c>
      <c r="J888" s="1" t="str">
        <f t="shared" si="27"/>
        <v>West Lafayette city</v>
      </c>
      <c r="K888" s="1">
        <f>IF(COUNTIF($I$5:I888,I888)=1,1,0)</f>
        <v>0</v>
      </c>
    </row>
    <row r="889" spans="1:11" x14ac:dyDescent="0.2">
      <c r="A889" s="9">
        <v>885</v>
      </c>
      <c r="B889" s="5" t="s">
        <v>884</v>
      </c>
      <c r="C889" s="6">
        <v>44790</v>
      </c>
      <c r="D889" s="6">
        <v>44723</v>
      </c>
      <c r="E889" s="6">
        <v>44348</v>
      </c>
      <c r="F889" s="6">
        <v>44972</v>
      </c>
      <c r="G889" s="6">
        <v>45699</v>
      </c>
      <c r="H889" s="6">
        <v>46335</v>
      </c>
      <c r="I889" s="1" t="str">
        <f t="shared" si="26"/>
        <v xml:space="preserve"> Florida</v>
      </c>
      <c r="J889" s="1" t="str">
        <f t="shared" si="27"/>
        <v>North Lauderdale city</v>
      </c>
      <c r="K889" s="1">
        <f>IF(COUNTIF($I$5:I889,I889)=1,1,0)</f>
        <v>0</v>
      </c>
    </row>
    <row r="890" spans="1:11" x14ac:dyDescent="0.2">
      <c r="A890" s="9">
        <v>886</v>
      </c>
      <c r="B890" s="5" t="s">
        <v>885</v>
      </c>
      <c r="C890" s="6">
        <v>34265</v>
      </c>
      <c r="D890" s="6">
        <v>34556</v>
      </c>
      <c r="E890" s="6">
        <v>36773</v>
      </c>
      <c r="F890" s="6">
        <v>40745</v>
      </c>
      <c r="G890" s="6">
        <v>44066</v>
      </c>
      <c r="H890" s="6">
        <v>46317</v>
      </c>
      <c r="I890" s="1" t="str">
        <f t="shared" si="26"/>
        <v xml:space="preserve"> North Carolina</v>
      </c>
      <c r="J890" s="1" t="str">
        <f t="shared" si="27"/>
        <v>Fuquay-Varina town</v>
      </c>
      <c r="K890" s="1">
        <f>IF(COUNTIF($I$5:I890,I890)=1,1,0)</f>
        <v>0</v>
      </c>
    </row>
    <row r="891" spans="1:11" x14ac:dyDescent="0.2">
      <c r="A891" s="9">
        <v>887</v>
      </c>
      <c r="B891" s="5" t="s">
        <v>886</v>
      </c>
      <c r="C891" s="6">
        <v>35378</v>
      </c>
      <c r="D891" s="6">
        <v>35829</v>
      </c>
      <c r="E891" s="6">
        <v>38874</v>
      </c>
      <c r="F891" s="6">
        <v>42110</v>
      </c>
      <c r="G891" s="6">
        <v>44502</v>
      </c>
      <c r="H891" s="6">
        <v>46316</v>
      </c>
      <c r="I891" s="1" t="str">
        <f t="shared" si="26"/>
        <v xml:space="preserve"> South Carolina</v>
      </c>
      <c r="J891" s="1" t="str">
        <f t="shared" si="27"/>
        <v>Greer city</v>
      </c>
      <c r="K891" s="1">
        <f>IF(COUNTIF($I$5:I891,I891)=1,1,0)</f>
        <v>0</v>
      </c>
    </row>
    <row r="892" spans="1:11" x14ac:dyDescent="0.2">
      <c r="A892" s="9">
        <v>888</v>
      </c>
      <c r="B892" s="5" t="s">
        <v>887</v>
      </c>
      <c r="C892" s="6">
        <v>46608</v>
      </c>
      <c r="D892" s="6">
        <v>46497</v>
      </c>
      <c r="E892" s="6">
        <v>46354</v>
      </c>
      <c r="F892" s="6">
        <v>46163</v>
      </c>
      <c r="G892" s="6">
        <v>46307</v>
      </c>
      <c r="H892" s="6">
        <v>46262</v>
      </c>
      <c r="I892" s="1" t="str">
        <f t="shared" si="26"/>
        <v xml:space="preserve"> New Mexico</v>
      </c>
      <c r="J892" s="1" t="str">
        <f t="shared" si="27"/>
        <v>Farmington city</v>
      </c>
      <c r="K892" s="1">
        <f>IF(COUNTIF($I$5:I892,I892)=1,1,0)</f>
        <v>0</v>
      </c>
    </row>
    <row r="893" spans="1:11" x14ac:dyDescent="0.2">
      <c r="A893" s="9">
        <v>889</v>
      </c>
      <c r="B893" s="5" t="s">
        <v>888</v>
      </c>
      <c r="C893" s="6">
        <v>47524</v>
      </c>
      <c r="D893" s="6">
        <v>47516</v>
      </c>
      <c r="E893" s="6">
        <v>46981</v>
      </c>
      <c r="F893" s="6">
        <v>46944</v>
      </c>
      <c r="G893" s="6">
        <v>46788</v>
      </c>
      <c r="H893" s="6">
        <v>46254</v>
      </c>
      <c r="I893" s="1" t="str">
        <f t="shared" si="26"/>
        <v xml:space="preserve"> California</v>
      </c>
      <c r="J893" s="1" t="str">
        <f t="shared" si="27"/>
        <v>Newark city</v>
      </c>
      <c r="K893" s="1">
        <f>IF(COUNTIF($I$5:I893,I893)=1,1,0)</f>
        <v>0</v>
      </c>
    </row>
    <row r="894" spans="1:11" x14ac:dyDescent="0.2">
      <c r="A894" s="9">
        <v>890</v>
      </c>
      <c r="B894" s="5" t="s">
        <v>889</v>
      </c>
      <c r="C894" s="6">
        <v>46878</v>
      </c>
      <c r="D894" s="6">
        <v>46841</v>
      </c>
      <c r="E894" s="6">
        <v>46451</v>
      </c>
      <c r="F894" s="6">
        <v>46121</v>
      </c>
      <c r="G894" s="6">
        <v>46001</v>
      </c>
      <c r="H894" s="6">
        <v>46109</v>
      </c>
      <c r="I894" s="1" t="str">
        <f t="shared" si="26"/>
        <v xml:space="preserve"> Kansas</v>
      </c>
      <c r="J894" s="1" t="str">
        <f t="shared" si="27"/>
        <v>Salina city</v>
      </c>
      <c r="K894" s="1">
        <f>IF(COUNTIF($I$5:I894,I894)=1,1,0)</f>
        <v>0</v>
      </c>
    </row>
    <row r="895" spans="1:11" x14ac:dyDescent="0.2">
      <c r="A895" s="9">
        <v>891</v>
      </c>
      <c r="B895" s="5" t="s">
        <v>890</v>
      </c>
      <c r="C895" s="6">
        <v>45784</v>
      </c>
      <c r="D895" s="6">
        <v>45727</v>
      </c>
      <c r="E895" s="6">
        <v>45495</v>
      </c>
      <c r="F895" s="6">
        <v>45422</v>
      </c>
      <c r="G895" s="6">
        <v>45666</v>
      </c>
      <c r="H895" s="6">
        <v>46108</v>
      </c>
      <c r="I895" s="1" t="str">
        <f t="shared" si="26"/>
        <v xml:space="preserve"> Illinois</v>
      </c>
      <c r="J895" s="1" t="str">
        <f t="shared" si="27"/>
        <v>Elmhurst city</v>
      </c>
      <c r="K895" s="1">
        <f>IF(COUNTIF($I$5:I895,I895)=1,1,0)</f>
        <v>0</v>
      </c>
    </row>
    <row r="896" spans="1:11" x14ac:dyDescent="0.2">
      <c r="A896" s="9">
        <v>892</v>
      </c>
      <c r="B896" s="5" t="s">
        <v>891</v>
      </c>
      <c r="C896" s="6">
        <v>45479</v>
      </c>
      <c r="D896" s="6">
        <v>45687</v>
      </c>
      <c r="E896" s="6">
        <v>45270</v>
      </c>
      <c r="F896" s="6">
        <v>44952</v>
      </c>
      <c r="G896" s="6">
        <v>45214</v>
      </c>
      <c r="H896" s="6">
        <v>45952</v>
      </c>
      <c r="I896" s="1" t="str">
        <f t="shared" si="26"/>
        <v xml:space="preserve"> California</v>
      </c>
      <c r="J896" s="1" t="str">
        <f t="shared" si="27"/>
        <v>Morgan Hill city</v>
      </c>
      <c r="K896" s="1">
        <f>IF(COUNTIF($I$5:I896,I896)=1,1,0)</f>
        <v>0</v>
      </c>
    </row>
    <row r="897" spans="1:11" x14ac:dyDescent="0.2">
      <c r="A897" s="9">
        <v>893</v>
      </c>
      <c r="B897" s="5" t="s">
        <v>892</v>
      </c>
      <c r="C897" s="6">
        <v>44534</v>
      </c>
      <c r="D897" s="6">
        <v>44773</v>
      </c>
      <c r="E897" s="6">
        <v>45233</v>
      </c>
      <c r="F897" s="6">
        <v>45537</v>
      </c>
      <c r="G897" s="6">
        <v>45772</v>
      </c>
      <c r="H897" s="6">
        <v>45897</v>
      </c>
      <c r="I897" s="1" t="str">
        <f t="shared" si="26"/>
        <v xml:space="preserve"> Texas</v>
      </c>
      <c r="J897" s="1" t="str">
        <f t="shared" si="27"/>
        <v>The Colony city</v>
      </c>
      <c r="K897" s="1">
        <f>IF(COUNTIF($I$5:I897,I897)=1,1,0)</f>
        <v>0</v>
      </c>
    </row>
    <row r="898" spans="1:11" x14ac:dyDescent="0.2">
      <c r="A898" s="9">
        <v>894</v>
      </c>
      <c r="B898" s="5" t="s">
        <v>893</v>
      </c>
      <c r="C898" s="6">
        <v>45427</v>
      </c>
      <c r="D898" s="6">
        <v>45218</v>
      </c>
      <c r="E898" s="6">
        <v>44394</v>
      </c>
      <c r="F898" s="6">
        <v>44627</v>
      </c>
      <c r="G898" s="6">
        <v>45216</v>
      </c>
      <c r="H898" s="6">
        <v>45833</v>
      </c>
      <c r="I898" s="1" t="str">
        <f t="shared" si="26"/>
        <v xml:space="preserve"> Florida</v>
      </c>
      <c r="J898" s="1" t="str">
        <f t="shared" si="27"/>
        <v>Cutler Bay town</v>
      </c>
      <c r="K898" s="1">
        <f>IF(COUNTIF($I$5:I898,I898)=1,1,0)</f>
        <v>0</v>
      </c>
    </row>
    <row r="899" spans="1:11" x14ac:dyDescent="0.2">
      <c r="A899" s="9">
        <v>895</v>
      </c>
      <c r="B899" s="5" t="s">
        <v>894</v>
      </c>
      <c r="C899" s="6">
        <v>38605</v>
      </c>
      <c r="D899" s="6">
        <v>39304</v>
      </c>
      <c r="E899" s="6">
        <v>42717</v>
      </c>
      <c r="F899" s="6">
        <v>44240</v>
      </c>
      <c r="G899" s="6">
        <v>44885</v>
      </c>
      <c r="H899" s="6">
        <v>45800</v>
      </c>
      <c r="I899" s="1" t="str">
        <f t="shared" si="26"/>
        <v xml:space="preserve"> Idaho</v>
      </c>
      <c r="J899" s="1" t="str">
        <f t="shared" si="27"/>
        <v>Post Falls city</v>
      </c>
      <c r="K899" s="1">
        <f>IF(COUNTIF($I$5:I899,I899)=1,1,0)</f>
        <v>0</v>
      </c>
    </row>
    <row r="900" spans="1:11" x14ac:dyDescent="0.2">
      <c r="A900" s="9">
        <v>896</v>
      </c>
      <c r="B900" s="5" t="s">
        <v>895</v>
      </c>
      <c r="C900" s="6">
        <v>46083</v>
      </c>
      <c r="D900" s="6">
        <v>46000</v>
      </c>
      <c r="E900" s="6">
        <v>45792</v>
      </c>
      <c r="F900" s="6">
        <v>45680</v>
      </c>
      <c r="G900" s="6">
        <v>45624</v>
      </c>
      <c r="H900" s="6">
        <v>45786</v>
      </c>
      <c r="I900" s="1" t="str">
        <f t="shared" si="26"/>
        <v xml:space="preserve"> Texas</v>
      </c>
      <c r="J900" s="1" t="str">
        <f t="shared" si="27"/>
        <v>Haltom City city</v>
      </c>
      <c r="K900" s="1">
        <f>IF(COUNTIF($I$5:I900,I900)=1,1,0)</f>
        <v>0</v>
      </c>
    </row>
    <row r="901" spans="1:11" x14ac:dyDescent="0.2">
      <c r="A901" s="9">
        <v>897</v>
      </c>
      <c r="B901" s="5" t="s">
        <v>896</v>
      </c>
      <c r="C901" s="6">
        <v>44321</v>
      </c>
      <c r="D901" s="6">
        <v>44237</v>
      </c>
      <c r="E901" s="6">
        <v>43862</v>
      </c>
      <c r="F901" s="6">
        <v>44358</v>
      </c>
      <c r="G901" s="6">
        <v>45112</v>
      </c>
      <c r="H901" s="6">
        <v>45771</v>
      </c>
      <c r="I901" s="1" t="str">
        <f t="shared" si="26"/>
        <v xml:space="preserve"> Florida</v>
      </c>
      <c r="J901" s="1" t="str">
        <f t="shared" si="27"/>
        <v>Oakland Park city</v>
      </c>
      <c r="K901" s="1">
        <f>IF(COUNTIF($I$5:I901,I901)=1,1,0)</f>
        <v>0</v>
      </c>
    </row>
    <row r="902" spans="1:11" x14ac:dyDescent="0.2">
      <c r="A902" s="9">
        <v>898</v>
      </c>
      <c r="B902" s="5" t="s">
        <v>897</v>
      </c>
      <c r="C902" s="6">
        <v>46487</v>
      </c>
      <c r="D902" s="6">
        <v>46428</v>
      </c>
      <c r="E902" s="6">
        <v>46143</v>
      </c>
      <c r="F902" s="6">
        <v>45823</v>
      </c>
      <c r="G902" s="6">
        <v>45719</v>
      </c>
      <c r="H902" s="6">
        <v>45768</v>
      </c>
      <c r="I902" s="1" t="str">
        <f t="shared" ref="I902:I965" si="28">_xlfn.TEXTAFTER(B902,",")</f>
        <v xml:space="preserve"> Ohio</v>
      </c>
      <c r="J902" s="1" t="str">
        <f t="shared" ref="J902:J965" si="29">_xlfn.TEXTBEFORE(B902,", ")</f>
        <v>Strongsville city</v>
      </c>
      <c r="K902" s="1">
        <f>IF(COUNTIF($I$5:I902,I902)=1,1,0)</f>
        <v>0</v>
      </c>
    </row>
    <row r="903" spans="1:11" x14ac:dyDescent="0.2">
      <c r="A903" s="9">
        <v>899</v>
      </c>
      <c r="B903" s="5" t="s">
        <v>898</v>
      </c>
      <c r="C903" s="6">
        <v>44511</v>
      </c>
      <c r="D903" s="6">
        <v>44544</v>
      </c>
      <c r="E903" s="6">
        <v>44795</v>
      </c>
      <c r="F903" s="6">
        <v>44904</v>
      </c>
      <c r="G903" s="6">
        <v>45309</v>
      </c>
      <c r="H903" s="6">
        <v>45726</v>
      </c>
      <c r="I903" s="1" t="str">
        <f t="shared" si="28"/>
        <v xml:space="preserve"> Minnesota</v>
      </c>
      <c r="J903" s="1" t="str">
        <f t="shared" si="29"/>
        <v>Moorhead city</v>
      </c>
      <c r="K903" s="1">
        <f>IF(COUNTIF($I$5:I903,I903)=1,1,0)</f>
        <v>0</v>
      </c>
    </row>
    <row r="904" spans="1:11" x14ac:dyDescent="0.2">
      <c r="A904" s="9">
        <v>900</v>
      </c>
      <c r="B904" s="5" t="s">
        <v>899</v>
      </c>
      <c r="C904" s="6">
        <v>44474</v>
      </c>
      <c r="D904" s="6">
        <v>43670</v>
      </c>
      <c r="E904" s="6">
        <v>44594</v>
      </c>
      <c r="F904" s="6">
        <v>44657</v>
      </c>
      <c r="G904" s="6">
        <v>45376</v>
      </c>
      <c r="H904" s="6">
        <v>45677</v>
      </c>
      <c r="I904" s="1" t="str">
        <f t="shared" si="28"/>
        <v xml:space="preserve"> Massachusetts</v>
      </c>
      <c r="J904" s="1" t="str">
        <f t="shared" si="29"/>
        <v>Salem city</v>
      </c>
      <c r="K904" s="1">
        <f>IF(COUNTIF($I$5:I904,I904)=1,1,0)</f>
        <v>0</v>
      </c>
    </row>
    <row r="905" spans="1:11" x14ac:dyDescent="0.2">
      <c r="A905" s="9">
        <v>901</v>
      </c>
      <c r="B905" s="5" t="s">
        <v>900</v>
      </c>
      <c r="C905" s="6">
        <v>43669</v>
      </c>
      <c r="D905" s="6">
        <v>43452</v>
      </c>
      <c r="E905" s="6">
        <v>42611</v>
      </c>
      <c r="F905" s="6">
        <v>43663</v>
      </c>
      <c r="G905" s="6">
        <v>44197</v>
      </c>
      <c r="H905" s="6">
        <v>45655</v>
      </c>
      <c r="I905" s="1" t="str">
        <f t="shared" si="28"/>
        <v xml:space="preserve"> Florida</v>
      </c>
      <c r="J905" s="1" t="str">
        <f t="shared" si="29"/>
        <v>North Miami Beach city</v>
      </c>
      <c r="K905" s="1">
        <f>IF(COUNTIF($I$5:I905,I905)=1,1,0)</f>
        <v>0</v>
      </c>
    </row>
    <row r="906" spans="1:11" x14ac:dyDescent="0.2">
      <c r="A906" s="9">
        <v>902</v>
      </c>
      <c r="B906" s="5" t="s">
        <v>901</v>
      </c>
      <c r="C906" s="6">
        <v>37791</v>
      </c>
      <c r="D906" s="6">
        <v>38225</v>
      </c>
      <c r="E906" s="6">
        <v>39533</v>
      </c>
      <c r="F906" s="6">
        <v>41392</v>
      </c>
      <c r="G906" s="6">
        <v>43210</v>
      </c>
      <c r="H906" s="6">
        <v>45587</v>
      </c>
      <c r="I906" s="1" t="str">
        <f t="shared" si="28"/>
        <v xml:space="preserve"> Florida</v>
      </c>
      <c r="J906" s="1" t="str">
        <f t="shared" si="29"/>
        <v>DeLand city</v>
      </c>
      <c r="K906" s="1">
        <f>IF(COUNTIF($I$5:I906,I906)=1,1,0)</f>
        <v>0</v>
      </c>
    </row>
    <row r="907" spans="1:11" x14ac:dyDescent="0.2">
      <c r="A907" s="9">
        <v>903</v>
      </c>
      <c r="B907" s="5" t="s">
        <v>902</v>
      </c>
      <c r="C907" s="6">
        <v>42518</v>
      </c>
      <c r="D907" s="6">
        <v>42835</v>
      </c>
      <c r="E907" s="6">
        <v>43385</v>
      </c>
      <c r="F907" s="6">
        <v>44490</v>
      </c>
      <c r="G907" s="6">
        <v>45014</v>
      </c>
      <c r="H907" s="6">
        <v>45548</v>
      </c>
      <c r="I907" s="1" t="str">
        <f t="shared" si="28"/>
        <v xml:space="preserve"> Georgia</v>
      </c>
      <c r="J907" s="1" t="str">
        <f t="shared" si="29"/>
        <v>Newnan city</v>
      </c>
      <c r="K907" s="1">
        <f>IF(COUNTIF($I$5:I907,I907)=1,1,0)</f>
        <v>0</v>
      </c>
    </row>
    <row r="908" spans="1:11" x14ac:dyDescent="0.2">
      <c r="A908" s="9">
        <v>904</v>
      </c>
      <c r="B908" s="5" t="s">
        <v>903</v>
      </c>
      <c r="C908" s="6">
        <v>45384</v>
      </c>
      <c r="D908" s="6">
        <v>45447</v>
      </c>
      <c r="E908" s="6">
        <v>45734</v>
      </c>
      <c r="F908" s="6">
        <v>45612</v>
      </c>
      <c r="G908" s="6">
        <v>45425</v>
      </c>
      <c r="H908" s="6">
        <v>45525</v>
      </c>
      <c r="I908" s="1" t="str">
        <f t="shared" si="28"/>
        <v xml:space="preserve"> Tennessee</v>
      </c>
      <c r="J908" s="1" t="str">
        <f t="shared" si="29"/>
        <v>Brentwood city</v>
      </c>
      <c r="K908" s="1">
        <f>IF(COUNTIF($I$5:I908,I908)=1,1,0)</f>
        <v>0</v>
      </c>
    </row>
    <row r="909" spans="1:11" x14ac:dyDescent="0.2">
      <c r="A909" s="9">
        <v>905</v>
      </c>
      <c r="B909" s="5" t="s">
        <v>904</v>
      </c>
      <c r="C909" s="6">
        <v>44575</v>
      </c>
      <c r="D909" s="6">
        <v>44646</v>
      </c>
      <c r="E909" s="6">
        <v>45008</v>
      </c>
      <c r="F909" s="6">
        <v>45114</v>
      </c>
      <c r="G909" s="6">
        <v>45271</v>
      </c>
      <c r="H909" s="6">
        <v>45453</v>
      </c>
      <c r="I909" s="1" t="str">
        <f t="shared" si="28"/>
        <v xml:space="preserve"> California</v>
      </c>
      <c r="J909" s="1" t="str">
        <f t="shared" si="29"/>
        <v>Palm Springs city</v>
      </c>
      <c r="K909" s="1">
        <f>IF(COUNTIF($I$5:I909,I909)=1,1,0)</f>
        <v>0</v>
      </c>
    </row>
    <row r="910" spans="1:11" x14ac:dyDescent="0.2">
      <c r="A910" s="9">
        <v>906</v>
      </c>
      <c r="B910" s="5" t="s">
        <v>905</v>
      </c>
      <c r="C910" s="6">
        <v>44834</v>
      </c>
      <c r="D910" s="6">
        <v>44753</v>
      </c>
      <c r="E910" s="6">
        <v>45659</v>
      </c>
      <c r="F910" s="6">
        <v>45623</v>
      </c>
      <c r="G910" s="6">
        <v>45663</v>
      </c>
      <c r="H910" s="6">
        <v>45452</v>
      </c>
      <c r="I910" s="1" t="str">
        <f t="shared" si="28"/>
        <v xml:space="preserve"> Virginia</v>
      </c>
      <c r="J910" s="1" t="str">
        <f t="shared" si="29"/>
        <v>Blacksburg town</v>
      </c>
      <c r="K910" s="1">
        <f>IF(COUNTIF($I$5:I910,I910)=1,1,0)</f>
        <v>0</v>
      </c>
    </row>
    <row r="911" spans="1:11" x14ac:dyDescent="0.2">
      <c r="A911" s="9">
        <v>907</v>
      </c>
      <c r="B911" s="5" t="s">
        <v>906</v>
      </c>
      <c r="C911" s="6">
        <v>43746</v>
      </c>
      <c r="D911" s="6">
        <v>43540</v>
      </c>
      <c r="E911" s="6">
        <v>43697</v>
      </c>
      <c r="F911" s="6">
        <v>43544</v>
      </c>
      <c r="G911" s="6">
        <v>44670</v>
      </c>
      <c r="H911" s="6">
        <v>45393</v>
      </c>
      <c r="I911" s="1" t="str">
        <f t="shared" si="28"/>
        <v xml:space="preserve"> New Jersey</v>
      </c>
      <c r="J911" s="1" t="str">
        <f t="shared" si="29"/>
        <v>Linden city</v>
      </c>
      <c r="K911" s="1">
        <f>IF(COUNTIF($I$5:I911,I911)=1,1,0)</f>
        <v>0</v>
      </c>
    </row>
    <row r="912" spans="1:11" x14ac:dyDescent="0.2">
      <c r="A912" s="9">
        <v>908</v>
      </c>
      <c r="B912" s="5" t="s">
        <v>907</v>
      </c>
      <c r="C912" s="6">
        <v>43506</v>
      </c>
      <c r="D912" s="6">
        <v>43626</v>
      </c>
      <c r="E912" s="6">
        <v>44982</v>
      </c>
      <c r="F912" s="6">
        <v>45442</v>
      </c>
      <c r="G912" s="6">
        <v>44827</v>
      </c>
      <c r="H912" s="6">
        <v>45291</v>
      </c>
      <c r="I912" s="1" t="str">
        <f t="shared" si="28"/>
        <v xml:space="preserve"> Washington</v>
      </c>
      <c r="J912" s="1" t="str">
        <f t="shared" si="29"/>
        <v>Bremerton city</v>
      </c>
      <c r="K912" s="1">
        <f>IF(COUNTIF($I$5:I912,I912)=1,1,0)</f>
        <v>0</v>
      </c>
    </row>
    <row r="913" spans="1:11" x14ac:dyDescent="0.2">
      <c r="A913" s="9">
        <v>909</v>
      </c>
      <c r="B913" s="5" t="s">
        <v>908</v>
      </c>
      <c r="C913" s="6">
        <v>44793</v>
      </c>
      <c r="D913" s="6">
        <v>44785</v>
      </c>
      <c r="E913" s="6">
        <v>44852</v>
      </c>
      <c r="F913" s="6">
        <v>44879</v>
      </c>
      <c r="G913" s="6">
        <v>45009</v>
      </c>
      <c r="H913" s="6">
        <v>45241</v>
      </c>
      <c r="I913" s="1" t="str">
        <f t="shared" si="28"/>
        <v xml:space="preserve"> Pennsylvania</v>
      </c>
      <c r="J913" s="1" t="str">
        <f t="shared" si="29"/>
        <v>York city</v>
      </c>
      <c r="K913" s="1">
        <f>IF(COUNTIF($I$5:I913,I913)=1,1,0)</f>
        <v>0</v>
      </c>
    </row>
    <row r="914" spans="1:11" x14ac:dyDescent="0.2">
      <c r="A914" s="9">
        <v>910</v>
      </c>
      <c r="B914" s="5" t="s">
        <v>909</v>
      </c>
      <c r="C914" s="6">
        <v>44016</v>
      </c>
      <c r="D914" s="6">
        <v>43985</v>
      </c>
      <c r="E914" s="6">
        <v>43790</v>
      </c>
      <c r="F914" s="6">
        <v>44161</v>
      </c>
      <c r="G914" s="6">
        <v>44790</v>
      </c>
      <c r="H914" s="6">
        <v>45197</v>
      </c>
      <c r="I914" s="1" t="str">
        <f t="shared" si="28"/>
        <v xml:space="preserve"> Florida</v>
      </c>
      <c r="J914" s="1" t="str">
        <f t="shared" si="29"/>
        <v>Greenacres city</v>
      </c>
      <c r="K914" s="1">
        <f>IF(COUNTIF($I$5:I914,I914)=1,1,0)</f>
        <v>0</v>
      </c>
    </row>
    <row r="915" spans="1:11" x14ac:dyDescent="0.2">
      <c r="A915" s="9">
        <v>911</v>
      </c>
      <c r="B915" s="5" t="s">
        <v>910</v>
      </c>
      <c r="C915" s="6">
        <v>41938</v>
      </c>
      <c r="D915" s="6">
        <v>42007</v>
      </c>
      <c r="E915" s="6">
        <v>42481</v>
      </c>
      <c r="F915" s="6">
        <v>42939</v>
      </c>
      <c r="G915" s="6">
        <v>43907</v>
      </c>
      <c r="H915" s="6">
        <v>45165</v>
      </c>
      <c r="I915" s="1" t="str">
        <f t="shared" si="28"/>
        <v xml:space="preserve"> California</v>
      </c>
      <c r="J915" s="1" t="str">
        <f t="shared" si="29"/>
        <v>Coachella city</v>
      </c>
      <c r="K915" s="1">
        <f>IF(COUNTIF($I$5:I915,I915)=1,1,0)</f>
        <v>0</v>
      </c>
    </row>
    <row r="916" spans="1:11" x14ac:dyDescent="0.2">
      <c r="A916" s="9">
        <v>912</v>
      </c>
      <c r="B916" s="5" t="s">
        <v>911</v>
      </c>
      <c r="C916" s="6">
        <v>44898</v>
      </c>
      <c r="D916" s="6">
        <v>44912</v>
      </c>
      <c r="E916" s="6">
        <v>44673</v>
      </c>
      <c r="F916" s="6">
        <v>44633</v>
      </c>
      <c r="G916" s="6">
        <v>44827</v>
      </c>
      <c r="H916" s="6">
        <v>45094</v>
      </c>
      <c r="I916" s="1" t="str">
        <f t="shared" si="28"/>
        <v xml:space="preserve"> Ohio</v>
      </c>
      <c r="J916" s="1" t="str">
        <f t="shared" si="29"/>
        <v>Fairfield city</v>
      </c>
      <c r="K916" s="1">
        <f>IF(COUNTIF($I$5:I916,I916)=1,1,0)</f>
        <v>0</v>
      </c>
    </row>
    <row r="917" spans="1:11" x14ac:dyDescent="0.2">
      <c r="A917" s="9">
        <v>913</v>
      </c>
      <c r="B917" s="5" t="s">
        <v>912</v>
      </c>
      <c r="C917" s="6">
        <v>43601</v>
      </c>
      <c r="D917" s="6">
        <v>43688</v>
      </c>
      <c r="E917" s="6">
        <v>43791</v>
      </c>
      <c r="F917" s="6">
        <v>44155</v>
      </c>
      <c r="G917" s="6">
        <v>44560</v>
      </c>
      <c r="H917" s="6">
        <v>45081</v>
      </c>
      <c r="I917" s="1" t="str">
        <f t="shared" si="28"/>
        <v xml:space="preserve"> North Carolina</v>
      </c>
      <c r="J917" s="1" t="str">
        <f t="shared" si="29"/>
        <v>Hickory city</v>
      </c>
      <c r="K917" s="1">
        <f>IF(COUNTIF($I$5:I917,I917)=1,1,0)</f>
        <v>0</v>
      </c>
    </row>
    <row r="918" spans="1:11" x14ac:dyDescent="0.2">
      <c r="A918" s="9">
        <v>914</v>
      </c>
      <c r="B918" s="5" t="s">
        <v>913</v>
      </c>
      <c r="C918" s="6">
        <v>41683</v>
      </c>
      <c r="D918" s="6">
        <v>41883</v>
      </c>
      <c r="E918" s="6">
        <v>43350</v>
      </c>
      <c r="F918" s="6">
        <v>44184</v>
      </c>
      <c r="G918" s="6">
        <v>44617</v>
      </c>
      <c r="H918" s="6">
        <v>45033</v>
      </c>
      <c r="I918" s="1" t="str">
        <f t="shared" si="28"/>
        <v xml:space="preserve"> California</v>
      </c>
      <c r="J918" s="1" t="str">
        <f t="shared" si="29"/>
        <v>Hollister city</v>
      </c>
      <c r="K918" s="1">
        <f>IF(COUNTIF($I$5:I918,I918)=1,1,0)</f>
        <v>0</v>
      </c>
    </row>
    <row r="919" spans="1:11" x14ac:dyDescent="0.2">
      <c r="A919" s="9">
        <v>915</v>
      </c>
      <c r="B919" s="5" t="s">
        <v>914</v>
      </c>
      <c r="C919" s="6">
        <v>45773</v>
      </c>
      <c r="D919" s="6">
        <v>45779</v>
      </c>
      <c r="E919" s="6">
        <v>45478</v>
      </c>
      <c r="F919" s="6">
        <v>44566</v>
      </c>
      <c r="G919" s="6">
        <v>44309</v>
      </c>
      <c r="H919" s="6">
        <v>45024</v>
      </c>
      <c r="I919" s="1" t="str">
        <f t="shared" si="28"/>
        <v xml:space="preserve"> Utah</v>
      </c>
      <c r="J919" s="1" t="str">
        <f t="shared" si="29"/>
        <v>Bountiful city</v>
      </c>
      <c r="K919" s="1">
        <f>IF(COUNTIF($I$5:I919,I919)=1,1,0)</f>
        <v>0</v>
      </c>
    </row>
    <row r="920" spans="1:11" x14ac:dyDescent="0.2">
      <c r="A920" s="9">
        <v>916</v>
      </c>
      <c r="B920" s="5" t="s">
        <v>915</v>
      </c>
      <c r="C920" s="6">
        <v>46841</v>
      </c>
      <c r="D920" s="6">
        <v>46753</v>
      </c>
      <c r="E920" s="6">
        <v>46219</v>
      </c>
      <c r="F920" s="6">
        <v>45649</v>
      </c>
      <c r="G920" s="6">
        <v>45314</v>
      </c>
      <c r="H920" s="6">
        <v>44942</v>
      </c>
      <c r="I920" s="1" t="str">
        <f t="shared" si="28"/>
        <v xml:space="preserve"> West Virginia</v>
      </c>
      <c r="J920" s="1" t="str">
        <f t="shared" si="29"/>
        <v>Huntington city</v>
      </c>
      <c r="K920" s="1">
        <f>IF(COUNTIF($I$5:I920,I920)=1,1,0)</f>
        <v>0</v>
      </c>
    </row>
    <row r="921" spans="1:11" x14ac:dyDescent="0.2">
      <c r="A921" s="9">
        <v>917</v>
      </c>
      <c r="B921" s="5" t="s">
        <v>916</v>
      </c>
      <c r="C921" s="6">
        <v>44403</v>
      </c>
      <c r="D921" s="6">
        <v>44465</v>
      </c>
      <c r="E921" s="6">
        <v>44543</v>
      </c>
      <c r="F921" s="6">
        <v>44437</v>
      </c>
      <c r="G921" s="6">
        <v>44600</v>
      </c>
      <c r="H921" s="6">
        <v>44894</v>
      </c>
      <c r="I921" s="1" t="str">
        <f t="shared" si="28"/>
        <v xml:space="preserve"> California</v>
      </c>
      <c r="J921" s="1" t="str">
        <f t="shared" si="29"/>
        <v>Rohnert Park city</v>
      </c>
      <c r="K921" s="1">
        <f>IF(COUNTIF($I$5:I921,I921)=1,1,0)</f>
        <v>0</v>
      </c>
    </row>
    <row r="922" spans="1:11" x14ac:dyDescent="0.2">
      <c r="A922" s="9">
        <v>918</v>
      </c>
      <c r="B922" s="5" t="s">
        <v>917</v>
      </c>
      <c r="C922" s="6">
        <v>45665</v>
      </c>
      <c r="D922" s="6">
        <v>45598</v>
      </c>
      <c r="E922" s="6">
        <v>45337</v>
      </c>
      <c r="F922" s="6">
        <v>44819</v>
      </c>
      <c r="G922" s="6">
        <v>44732</v>
      </c>
      <c r="H922" s="6">
        <v>44879</v>
      </c>
      <c r="I922" s="1" t="str">
        <f t="shared" si="28"/>
        <v xml:space="preserve"> Colorado</v>
      </c>
      <c r="J922" s="1" t="str">
        <f t="shared" si="29"/>
        <v>Littleton city</v>
      </c>
      <c r="K922" s="1">
        <f>IF(COUNTIF($I$5:I922,I922)=1,1,0)</f>
        <v>0</v>
      </c>
    </row>
    <row r="923" spans="1:11" x14ac:dyDescent="0.2">
      <c r="A923" s="9">
        <v>919</v>
      </c>
      <c r="B923" s="5" t="s">
        <v>918</v>
      </c>
      <c r="C923" s="6">
        <v>46513</v>
      </c>
      <c r="D923" s="6">
        <v>46434</v>
      </c>
      <c r="E923" s="6">
        <v>45713</v>
      </c>
      <c r="F923" s="6">
        <v>45223</v>
      </c>
      <c r="G923" s="6">
        <v>45047</v>
      </c>
      <c r="H923" s="6">
        <v>44767</v>
      </c>
      <c r="I923" s="1" t="str">
        <f t="shared" si="28"/>
        <v xml:space="preserve"> Virginia</v>
      </c>
      <c r="J923" s="1" t="str">
        <f t="shared" si="29"/>
        <v>Charlottesville city</v>
      </c>
      <c r="K923" s="1">
        <f>IF(COUNTIF($I$5:I923,I923)=1,1,0)</f>
        <v>0</v>
      </c>
    </row>
    <row r="924" spans="1:11" x14ac:dyDescent="0.2">
      <c r="A924" s="9">
        <v>920</v>
      </c>
      <c r="B924" s="5" t="s">
        <v>919</v>
      </c>
      <c r="C924" s="6">
        <v>45322</v>
      </c>
      <c r="D924" s="6">
        <v>45400</v>
      </c>
      <c r="E924" s="6">
        <v>45698</v>
      </c>
      <c r="F924" s="6">
        <v>45403</v>
      </c>
      <c r="G924" s="6">
        <v>44575</v>
      </c>
      <c r="H924" s="6">
        <v>44710</v>
      </c>
      <c r="I924" s="1" t="str">
        <f t="shared" si="28"/>
        <v xml:space="preserve"> Arizona</v>
      </c>
      <c r="J924" s="1" t="str">
        <f t="shared" si="29"/>
        <v>Sierra Vista city</v>
      </c>
      <c r="K924" s="1">
        <f>IF(COUNTIF($I$5:I924,I924)=1,1,0)</f>
        <v>0</v>
      </c>
    </row>
    <row r="925" spans="1:11" x14ac:dyDescent="0.2">
      <c r="A925" s="9">
        <v>921</v>
      </c>
      <c r="B925" s="5" t="s">
        <v>920</v>
      </c>
      <c r="C925" s="6">
        <v>43996</v>
      </c>
      <c r="D925" s="6">
        <v>44040</v>
      </c>
      <c r="E925" s="6">
        <v>44180</v>
      </c>
      <c r="F925" s="6">
        <v>44422</v>
      </c>
      <c r="G925" s="6">
        <v>44580</v>
      </c>
      <c r="H925" s="6">
        <v>44674</v>
      </c>
      <c r="I925" s="1" t="str">
        <f t="shared" si="28"/>
        <v xml:space="preserve"> New Hampshire</v>
      </c>
      <c r="J925" s="1" t="str">
        <f t="shared" si="29"/>
        <v>Concord city</v>
      </c>
      <c r="K925" s="1">
        <f>IF(COUNTIF($I$5:I925,I925)=1,1,0)</f>
        <v>0</v>
      </c>
    </row>
    <row r="926" spans="1:11" x14ac:dyDescent="0.2">
      <c r="A926" s="9">
        <v>922</v>
      </c>
      <c r="B926" s="5" t="s">
        <v>921</v>
      </c>
      <c r="C926" s="6">
        <v>44349</v>
      </c>
      <c r="D926" s="6">
        <v>44277</v>
      </c>
      <c r="E926" s="6">
        <v>44346</v>
      </c>
      <c r="F926" s="6">
        <v>44323</v>
      </c>
      <c r="G926" s="6">
        <v>44424</v>
      </c>
      <c r="H926" s="6">
        <v>44661</v>
      </c>
      <c r="I926" s="1" t="str">
        <f t="shared" si="28"/>
        <v xml:space="preserve"> Pennsylvania</v>
      </c>
      <c r="J926" s="1" t="str">
        <f t="shared" si="29"/>
        <v>Wilkes-Barre city</v>
      </c>
      <c r="K926" s="1">
        <f>IF(COUNTIF($I$5:I926,I926)=1,1,0)</f>
        <v>0</v>
      </c>
    </row>
    <row r="927" spans="1:11" x14ac:dyDescent="0.2">
      <c r="A927" s="9">
        <v>923</v>
      </c>
      <c r="B927" s="5" t="s">
        <v>922</v>
      </c>
      <c r="C927" s="6">
        <v>43073</v>
      </c>
      <c r="D927" s="6">
        <v>43122</v>
      </c>
      <c r="E927" s="6">
        <v>43507</v>
      </c>
      <c r="F927" s="6">
        <v>44152</v>
      </c>
      <c r="G927" s="6">
        <v>44457</v>
      </c>
      <c r="H927" s="6">
        <v>44596</v>
      </c>
      <c r="I927" s="1" t="str">
        <f t="shared" si="28"/>
        <v xml:space="preserve"> Florida</v>
      </c>
      <c r="J927" s="1" t="str">
        <f t="shared" si="29"/>
        <v>Ormond Beach city</v>
      </c>
      <c r="K927" s="1">
        <f>IF(COUNTIF($I$5:I927,I927)=1,1,0)</f>
        <v>0</v>
      </c>
    </row>
    <row r="928" spans="1:11" x14ac:dyDescent="0.2">
      <c r="A928" s="9">
        <v>924</v>
      </c>
      <c r="B928" s="5" t="s">
        <v>923</v>
      </c>
      <c r="C928" s="6">
        <v>43224</v>
      </c>
      <c r="D928" s="6">
        <v>43161</v>
      </c>
      <c r="E928" s="6">
        <v>43061</v>
      </c>
      <c r="F928" s="6">
        <v>43300</v>
      </c>
      <c r="G928" s="6">
        <v>43570</v>
      </c>
      <c r="H928" s="6">
        <v>44508</v>
      </c>
      <c r="I928" s="1" t="str">
        <f t="shared" si="28"/>
        <v xml:space="preserve"> Rhode Island</v>
      </c>
      <c r="J928" s="1" t="str">
        <f t="shared" si="29"/>
        <v>Woonsocket city</v>
      </c>
      <c r="K928" s="1">
        <f>IF(COUNTIF($I$5:I928,I928)=1,1,0)</f>
        <v>0</v>
      </c>
    </row>
    <row r="929" spans="1:11" x14ac:dyDescent="0.2">
      <c r="A929" s="9">
        <v>925</v>
      </c>
      <c r="B929" s="5" t="s">
        <v>924</v>
      </c>
      <c r="C929" s="6">
        <v>30166</v>
      </c>
      <c r="D929" s="6">
        <v>30818</v>
      </c>
      <c r="E929" s="6">
        <v>34134</v>
      </c>
      <c r="F929" s="6">
        <v>37843</v>
      </c>
      <c r="G929" s="6">
        <v>42035</v>
      </c>
      <c r="H929" s="6">
        <v>44503</v>
      </c>
      <c r="I929" s="1" t="str">
        <f t="shared" si="28"/>
        <v xml:space="preserve"> Texas</v>
      </c>
      <c r="J929" s="1" t="str">
        <f t="shared" si="29"/>
        <v>Prosper town</v>
      </c>
      <c r="K929" s="1">
        <f>IF(COUNTIF($I$5:I929,I929)=1,1,0)</f>
        <v>0</v>
      </c>
    </row>
    <row r="930" spans="1:11" x14ac:dyDescent="0.2">
      <c r="A930" s="9">
        <v>926</v>
      </c>
      <c r="B930" s="5" t="s">
        <v>925</v>
      </c>
      <c r="C930" s="6">
        <v>44509</v>
      </c>
      <c r="D930" s="6">
        <v>44416</v>
      </c>
      <c r="E930" s="6">
        <v>44056</v>
      </c>
      <c r="F930" s="6">
        <v>44038</v>
      </c>
      <c r="G930" s="6">
        <v>44125</v>
      </c>
      <c r="H930" s="6">
        <v>44490</v>
      </c>
      <c r="I930" s="1" t="str">
        <f t="shared" si="28"/>
        <v xml:space="preserve"> Illinois</v>
      </c>
      <c r="J930" s="1" t="str">
        <f t="shared" si="29"/>
        <v>Lombard village</v>
      </c>
      <c r="K930" s="1">
        <f>IF(COUNTIF($I$5:I930,I930)=1,1,0)</f>
        <v>0</v>
      </c>
    </row>
    <row r="931" spans="1:11" x14ac:dyDescent="0.2">
      <c r="A931" s="9">
        <v>927</v>
      </c>
      <c r="B931" s="5" t="s">
        <v>926</v>
      </c>
      <c r="C931" s="6">
        <v>44694</v>
      </c>
      <c r="D931" s="6">
        <v>44674</v>
      </c>
      <c r="E931" s="6">
        <v>44560</v>
      </c>
      <c r="F931" s="6">
        <v>44394</v>
      </c>
      <c r="G931" s="6">
        <v>44381</v>
      </c>
      <c r="H931" s="6">
        <v>44469</v>
      </c>
      <c r="I931" s="1" t="str">
        <f t="shared" si="28"/>
        <v xml:space="preserve"> Wisconsin</v>
      </c>
      <c r="J931" s="1" t="str">
        <f t="shared" si="29"/>
        <v>Fond du Lac city</v>
      </c>
      <c r="K931" s="1">
        <f>IF(COUNTIF($I$5:I931,I931)=1,1,0)</f>
        <v>0</v>
      </c>
    </row>
    <row r="932" spans="1:11" x14ac:dyDescent="0.2">
      <c r="A932" s="9">
        <v>928</v>
      </c>
      <c r="B932" s="5" t="s">
        <v>927</v>
      </c>
      <c r="C932" s="6">
        <v>44743</v>
      </c>
      <c r="D932" s="6">
        <v>44745</v>
      </c>
      <c r="E932" s="6">
        <v>44745</v>
      </c>
      <c r="F932" s="6">
        <v>44765</v>
      </c>
      <c r="G932" s="6">
        <v>44666</v>
      </c>
      <c r="H932" s="6">
        <v>44432</v>
      </c>
      <c r="I932" s="1" t="str">
        <f t="shared" si="28"/>
        <v xml:space="preserve"> Vermont</v>
      </c>
      <c r="J932" s="1" t="str">
        <f t="shared" si="29"/>
        <v>Burlington city</v>
      </c>
      <c r="K932" s="1">
        <f>IF(COUNTIF($I$5:I932,I932)=1,1,0)</f>
        <v>1</v>
      </c>
    </row>
    <row r="933" spans="1:11" x14ac:dyDescent="0.2">
      <c r="A933" s="9">
        <v>929</v>
      </c>
      <c r="B933" s="5" t="s">
        <v>928</v>
      </c>
      <c r="C933" s="6">
        <v>42024</v>
      </c>
      <c r="D933" s="6">
        <v>42152</v>
      </c>
      <c r="E933" s="6">
        <v>42679</v>
      </c>
      <c r="F933" s="6">
        <v>43087</v>
      </c>
      <c r="G933" s="6">
        <v>43395</v>
      </c>
      <c r="H933" s="6">
        <v>44428</v>
      </c>
      <c r="I933" s="1" t="str">
        <f t="shared" si="28"/>
        <v xml:space="preserve"> Texas</v>
      </c>
      <c r="J933" s="1" t="str">
        <f t="shared" si="29"/>
        <v>Schertz city</v>
      </c>
      <c r="K933" s="1">
        <f>IF(COUNTIF($I$5:I933,I933)=1,1,0)</f>
        <v>0</v>
      </c>
    </row>
    <row r="934" spans="1:11" x14ac:dyDescent="0.2">
      <c r="A934" s="9">
        <v>930</v>
      </c>
      <c r="B934" s="5" t="s">
        <v>929</v>
      </c>
      <c r="C934" s="6">
        <v>42202</v>
      </c>
      <c r="D934" s="6">
        <v>42225</v>
      </c>
      <c r="E934" s="6">
        <v>42614</v>
      </c>
      <c r="F934" s="6">
        <v>43545</v>
      </c>
      <c r="G934" s="6">
        <v>44016</v>
      </c>
      <c r="H934" s="6">
        <v>44417</v>
      </c>
      <c r="I934" s="1" t="str">
        <f t="shared" si="28"/>
        <v xml:space="preserve"> Florida</v>
      </c>
      <c r="J934" s="1" t="str">
        <f t="shared" si="29"/>
        <v>Lake Worth Beach city</v>
      </c>
      <c r="K934" s="1">
        <f>IF(COUNTIF($I$5:I934,I934)=1,1,0)</f>
        <v>0</v>
      </c>
    </row>
    <row r="935" spans="1:11" x14ac:dyDescent="0.2">
      <c r="A935" s="9">
        <v>931</v>
      </c>
      <c r="B935" s="5" t="s">
        <v>930</v>
      </c>
      <c r="C935" s="6">
        <v>38515</v>
      </c>
      <c r="D935" s="6">
        <v>38735</v>
      </c>
      <c r="E935" s="6">
        <v>39743</v>
      </c>
      <c r="F935" s="6">
        <v>40241</v>
      </c>
      <c r="G935" s="6">
        <v>41348</v>
      </c>
      <c r="H935" s="6">
        <v>44309</v>
      </c>
      <c r="I935" s="1" t="str">
        <f t="shared" si="28"/>
        <v xml:space="preserve"> Arizona</v>
      </c>
      <c r="J935" s="1" t="str">
        <f t="shared" si="29"/>
        <v>Apache Junction city</v>
      </c>
      <c r="K935" s="1">
        <f>IF(COUNTIF($I$5:I935,I935)=1,1,0)</f>
        <v>0</v>
      </c>
    </row>
    <row r="936" spans="1:11" x14ac:dyDescent="0.2">
      <c r="A936" s="9">
        <v>932</v>
      </c>
      <c r="B936" s="5" t="s">
        <v>931</v>
      </c>
      <c r="C936" s="6">
        <v>44536</v>
      </c>
      <c r="D936" s="6">
        <v>44441</v>
      </c>
      <c r="E936" s="6">
        <v>44275</v>
      </c>
      <c r="F936" s="6">
        <v>44148</v>
      </c>
      <c r="G936" s="6">
        <v>44160</v>
      </c>
      <c r="H936" s="6">
        <v>44230</v>
      </c>
      <c r="I936" s="1" t="str">
        <f t="shared" si="28"/>
        <v xml:space="preserve"> California</v>
      </c>
      <c r="J936" s="1" t="str">
        <f t="shared" si="29"/>
        <v>El Centro city</v>
      </c>
      <c r="K936" s="1">
        <f>IF(COUNTIF($I$5:I936,I936)=1,1,0)</f>
        <v>0</v>
      </c>
    </row>
    <row r="937" spans="1:11" x14ac:dyDescent="0.2">
      <c r="A937" s="9">
        <v>933</v>
      </c>
      <c r="B937" s="5" t="s">
        <v>932</v>
      </c>
      <c r="C937" s="6">
        <v>43792</v>
      </c>
      <c r="D937" s="6">
        <v>43755</v>
      </c>
      <c r="E937" s="6">
        <v>43740</v>
      </c>
      <c r="F937" s="6">
        <v>43899</v>
      </c>
      <c r="G937" s="6">
        <v>43908</v>
      </c>
      <c r="H937" s="6">
        <v>44209</v>
      </c>
      <c r="I937" s="1" t="str">
        <f t="shared" si="28"/>
        <v xml:space="preserve"> Massachusetts</v>
      </c>
      <c r="J937" s="1" t="str">
        <f t="shared" si="29"/>
        <v>Leominster city</v>
      </c>
      <c r="K937" s="1">
        <f>IF(COUNTIF($I$5:I937,I937)=1,1,0)</f>
        <v>0</v>
      </c>
    </row>
    <row r="938" spans="1:11" x14ac:dyDescent="0.2">
      <c r="A938" s="9">
        <v>934</v>
      </c>
      <c r="B938" s="5" t="s">
        <v>933</v>
      </c>
      <c r="C938" s="6">
        <v>35134</v>
      </c>
      <c r="D938" s="6">
        <v>35545</v>
      </c>
      <c r="E938" s="6">
        <v>37070</v>
      </c>
      <c r="F938" s="6">
        <v>38727</v>
      </c>
      <c r="G938" s="6">
        <v>41471</v>
      </c>
      <c r="H938" s="6">
        <v>44104</v>
      </c>
      <c r="I938" s="1" t="str">
        <f t="shared" si="28"/>
        <v xml:space="preserve"> Texas</v>
      </c>
      <c r="J938" s="1" t="str">
        <f t="shared" si="29"/>
        <v>Midlothian city</v>
      </c>
      <c r="K938" s="1">
        <f>IF(COUNTIF($I$5:I938,I938)=1,1,0)</f>
        <v>0</v>
      </c>
    </row>
    <row r="939" spans="1:11" x14ac:dyDescent="0.2">
      <c r="A939" s="9">
        <v>935</v>
      </c>
      <c r="B939" s="5" t="s">
        <v>934</v>
      </c>
      <c r="C939" s="6">
        <v>39312</v>
      </c>
      <c r="D939" s="6">
        <v>39690</v>
      </c>
      <c r="E939" s="6">
        <v>40814</v>
      </c>
      <c r="F939" s="6">
        <v>42681</v>
      </c>
      <c r="G939" s="6">
        <v>43090</v>
      </c>
      <c r="H939" s="6">
        <v>44066</v>
      </c>
      <c r="I939" s="1" t="str">
        <f t="shared" si="28"/>
        <v xml:space="preserve"> Tennessee</v>
      </c>
      <c r="J939" s="1" t="str">
        <f t="shared" si="29"/>
        <v>Mount Juliet city</v>
      </c>
      <c r="K939" s="1">
        <f>IF(COUNTIF($I$5:I939,I939)=1,1,0)</f>
        <v>0</v>
      </c>
    </row>
    <row r="940" spans="1:11" x14ac:dyDescent="0.2">
      <c r="A940" s="9">
        <v>936</v>
      </c>
      <c r="B940" s="5" t="s">
        <v>935</v>
      </c>
      <c r="C940" s="6">
        <v>45314</v>
      </c>
      <c r="D940" s="6">
        <v>45221</v>
      </c>
      <c r="E940" s="6">
        <v>44727</v>
      </c>
      <c r="F940" s="6">
        <v>44293</v>
      </c>
      <c r="G940" s="6">
        <v>44105</v>
      </c>
      <c r="H940" s="6">
        <v>44064</v>
      </c>
      <c r="I940" s="1" t="str">
        <f t="shared" si="28"/>
        <v xml:space="preserve"> Ohio</v>
      </c>
      <c r="J940" s="1" t="str">
        <f t="shared" si="29"/>
        <v>Cleveland Heights city</v>
      </c>
      <c r="K940" s="1">
        <f>IF(COUNTIF($I$5:I940,I940)=1,1,0)</f>
        <v>0</v>
      </c>
    </row>
    <row r="941" spans="1:11" x14ac:dyDescent="0.2">
      <c r="A941" s="9">
        <v>937</v>
      </c>
      <c r="B941" s="5" t="s">
        <v>936</v>
      </c>
      <c r="C941" s="6">
        <v>44472</v>
      </c>
      <c r="D941" s="6">
        <v>44282</v>
      </c>
      <c r="E941" s="6">
        <v>44267</v>
      </c>
      <c r="F941" s="6">
        <v>43995</v>
      </c>
      <c r="G941" s="6">
        <v>43887</v>
      </c>
      <c r="H941" s="6">
        <v>44028</v>
      </c>
      <c r="I941" s="1" t="str">
        <f t="shared" si="28"/>
        <v xml:space="preserve"> New York</v>
      </c>
      <c r="J941" s="1" t="str">
        <f t="shared" si="29"/>
        <v>Freeport village</v>
      </c>
      <c r="K941" s="1">
        <f>IF(COUNTIF($I$5:I941,I941)=1,1,0)</f>
        <v>0</v>
      </c>
    </row>
    <row r="942" spans="1:11" x14ac:dyDescent="0.2">
      <c r="A942" s="9">
        <v>938</v>
      </c>
      <c r="B942" s="5" t="s">
        <v>937</v>
      </c>
      <c r="C942" s="6">
        <v>41248</v>
      </c>
      <c r="D942" s="6">
        <v>41314</v>
      </c>
      <c r="E942" s="6">
        <v>41806</v>
      </c>
      <c r="F942" s="6">
        <v>42385</v>
      </c>
      <c r="G942" s="6">
        <v>43144</v>
      </c>
      <c r="H942" s="6">
        <v>44019</v>
      </c>
      <c r="I942" s="1" t="str">
        <f t="shared" si="28"/>
        <v xml:space="preserve"> Ohio</v>
      </c>
      <c r="J942" s="1" t="str">
        <f t="shared" si="29"/>
        <v>Grove City city</v>
      </c>
      <c r="K942" s="1">
        <f>IF(COUNTIF($I$5:I942,I942)=1,1,0)</f>
        <v>0</v>
      </c>
    </row>
    <row r="943" spans="1:11" x14ac:dyDescent="0.2">
      <c r="A943" s="9">
        <v>939</v>
      </c>
      <c r="B943" s="5" t="s">
        <v>938</v>
      </c>
      <c r="C943" s="6">
        <v>43546</v>
      </c>
      <c r="D943" s="6">
        <v>43518</v>
      </c>
      <c r="E943" s="6">
        <v>43617</v>
      </c>
      <c r="F943" s="6">
        <v>43650</v>
      </c>
      <c r="G943" s="6">
        <v>43637</v>
      </c>
      <c r="H943" s="6">
        <v>43909</v>
      </c>
      <c r="I943" s="1" t="str">
        <f t="shared" si="28"/>
        <v xml:space="preserve"> Maryland</v>
      </c>
      <c r="J943" s="1" t="str">
        <f t="shared" si="29"/>
        <v>Hagerstown city</v>
      </c>
      <c r="K943" s="1">
        <f>IF(COUNTIF($I$5:I943,I943)=1,1,0)</f>
        <v>0</v>
      </c>
    </row>
    <row r="944" spans="1:11" x14ac:dyDescent="0.2">
      <c r="A944" s="9">
        <v>940</v>
      </c>
      <c r="B944" s="5" t="s">
        <v>939</v>
      </c>
      <c r="C944" s="6">
        <v>40881</v>
      </c>
      <c r="D944" s="6">
        <v>40827</v>
      </c>
      <c r="E944" s="6">
        <v>41176</v>
      </c>
      <c r="F944" s="6">
        <v>41702</v>
      </c>
      <c r="G944" s="6">
        <v>42083</v>
      </c>
      <c r="H944" s="6">
        <v>43895</v>
      </c>
      <c r="I944" s="1" t="str">
        <f t="shared" si="28"/>
        <v xml:space="preserve"> Massachusetts</v>
      </c>
      <c r="J944" s="1" t="str">
        <f t="shared" si="29"/>
        <v>Woburn city</v>
      </c>
      <c r="K944" s="1">
        <f>IF(COUNTIF($I$5:I944,I944)=1,1,0)</f>
        <v>0</v>
      </c>
    </row>
    <row r="945" spans="1:11" x14ac:dyDescent="0.2">
      <c r="A945" s="9">
        <v>941</v>
      </c>
      <c r="B945" s="5" t="s">
        <v>940</v>
      </c>
      <c r="C945" s="6">
        <v>40091</v>
      </c>
      <c r="D945" s="6">
        <v>40304</v>
      </c>
      <c r="E945" s="6">
        <v>41092</v>
      </c>
      <c r="F945" s="6">
        <v>41817</v>
      </c>
      <c r="G945" s="6">
        <v>43030</v>
      </c>
      <c r="H945" s="6">
        <v>43867</v>
      </c>
      <c r="I945" s="1" t="str">
        <f t="shared" si="28"/>
        <v xml:space="preserve"> North Carolina</v>
      </c>
      <c r="J945" s="1" t="str">
        <f t="shared" si="29"/>
        <v>Indian Trail town</v>
      </c>
      <c r="K945" s="1">
        <f>IF(COUNTIF($I$5:I945,I945)=1,1,0)</f>
        <v>0</v>
      </c>
    </row>
    <row r="946" spans="1:11" x14ac:dyDescent="0.2">
      <c r="A946" s="9">
        <v>942</v>
      </c>
      <c r="B946" s="5" t="s">
        <v>941</v>
      </c>
      <c r="C946" s="6">
        <v>40195</v>
      </c>
      <c r="D946" s="6">
        <v>40628</v>
      </c>
      <c r="E946" s="6">
        <v>41013</v>
      </c>
      <c r="F946" s="6">
        <v>42316</v>
      </c>
      <c r="G946" s="6">
        <v>43262</v>
      </c>
      <c r="H946" s="6">
        <v>43864</v>
      </c>
      <c r="I946" s="1" t="str">
        <f t="shared" si="28"/>
        <v xml:space="preserve"> Texas</v>
      </c>
      <c r="J946" s="1" t="str">
        <f t="shared" si="29"/>
        <v>Weslaco city</v>
      </c>
      <c r="K946" s="1">
        <f>IF(COUNTIF($I$5:I946,I946)=1,1,0)</f>
        <v>0</v>
      </c>
    </row>
    <row r="947" spans="1:11" x14ac:dyDescent="0.2">
      <c r="A947" s="9">
        <v>943</v>
      </c>
      <c r="B947" s="5" t="s">
        <v>942</v>
      </c>
      <c r="C947" s="6">
        <v>32960</v>
      </c>
      <c r="D947" s="6">
        <v>33510</v>
      </c>
      <c r="E947" s="6">
        <v>36201</v>
      </c>
      <c r="F947" s="6">
        <v>39021</v>
      </c>
      <c r="G947" s="6">
        <v>41941</v>
      </c>
      <c r="H947" s="6">
        <v>43863</v>
      </c>
      <c r="I947" s="1" t="str">
        <f t="shared" si="28"/>
        <v xml:space="preserve"> New York</v>
      </c>
      <c r="J947" s="1" t="str">
        <f t="shared" si="29"/>
        <v>Kiryas Joel village</v>
      </c>
      <c r="K947" s="1">
        <f>IF(COUNTIF($I$5:I947,I947)=1,1,0)</f>
        <v>0</v>
      </c>
    </row>
    <row r="948" spans="1:11" x14ac:dyDescent="0.2">
      <c r="A948" s="9">
        <v>944</v>
      </c>
      <c r="B948" s="5" t="s">
        <v>943</v>
      </c>
      <c r="C948" s="6">
        <v>42773</v>
      </c>
      <c r="D948" s="6">
        <v>42695</v>
      </c>
      <c r="E948" s="6">
        <v>42770</v>
      </c>
      <c r="F948" s="6">
        <v>42710</v>
      </c>
      <c r="G948" s="6">
        <v>43087</v>
      </c>
      <c r="H948" s="6">
        <v>43616</v>
      </c>
      <c r="I948" s="1" t="str">
        <f t="shared" si="28"/>
        <v xml:space="preserve"> Virginia</v>
      </c>
      <c r="J948" s="1" t="str">
        <f t="shared" si="29"/>
        <v>Manassas city</v>
      </c>
      <c r="K948" s="1">
        <f>IF(COUNTIF($I$5:I948,I948)=1,1,0)</f>
        <v>0</v>
      </c>
    </row>
    <row r="949" spans="1:11" x14ac:dyDescent="0.2">
      <c r="A949" s="9">
        <v>945</v>
      </c>
      <c r="B949" s="5" t="s">
        <v>944</v>
      </c>
      <c r="C949" s="6">
        <v>44444</v>
      </c>
      <c r="D949" s="6">
        <v>44193</v>
      </c>
      <c r="E949" s="6">
        <v>43110</v>
      </c>
      <c r="F949" s="6">
        <v>44169</v>
      </c>
      <c r="G949" s="6">
        <v>43136</v>
      </c>
      <c r="H949" s="6">
        <v>43594</v>
      </c>
      <c r="I949" s="1" t="str">
        <f t="shared" si="28"/>
        <v xml:space="preserve"> California</v>
      </c>
      <c r="J949" s="1" t="str">
        <f t="shared" si="29"/>
        <v>Lompoc city</v>
      </c>
      <c r="K949" s="1">
        <f>IF(COUNTIF($I$5:I949,I949)=1,1,0)</f>
        <v>0</v>
      </c>
    </row>
    <row r="950" spans="1:11" x14ac:dyDescent="0.2">
      <c r="A950" s="9">
        <v>946</v>
      </c>
      <c r="B950" s="5" t="s">
        <v>945</v>
      </c>
      <c r="C950" s="6">
        <v>43429</v>
      </c>
      <c r="D950" s="6">
        <v>43444</v>
      </c>
      <c r="E950" s="6">
        <v>43414</v>
      </c>
      <c r="F950" s="6">
        <v>43358</v>
      </c>
      <c r="G950" s="6">
        <v>43429</v>
      </c>
      <c r="H950" s="6">
        <v>43590</v>
      </c>
      <c r="I950" s="1" t="str">
        <f t="shared" si="28"/>
        <v xml:space="preserve"> Ohio</v>
      </c>
      <c r="J950" s="1" t="str">
        <f t="shared" si="29"/>
        <v>Huber Heights city</v>
      </c>
      <c r="K950" s="1">
        <f>IF(COUNTIF($I$5:I950,I950)=1,1,0)</f>
        <v>0</v>
      </c>
    </row>
    <row r="951" spans="1:11" x14ac:dyDescent="0.2">
      <c r="A951" s="9">
        <v>947</v>
      </c>
      <c r="B951" s="5" t="s">
        <v>946</v>
      </c>
      <c r="C951" s="6">
        <v>40072</v>
      </c>
      <c r="D951" s="6">
        <v>40294</v>
      </c>
      <c r="E951" s="6">
        <v>40878</v>
      </c>
      <c r="F951" s="6">
        <v>41949</v>
      </c>
      <c r="G951" s="6">
        <v>42660</v>
      </c>
      <c r="H951" s="6">
        <v>43473</v>
      </c>
      <c r="I951" s="1" t="str">
        <f t="shared" si="28"/>
        <v xml:space="preserve"> Colorado</v>
      </c>
      <c r="J951" s="1" t="str">
        <f t="shared" si="29"/>
        <v>Brighton city</v>
      </c>
      <c r="K951" s="1">
        <f>IF(COUNTIF($I$5:I951,I951)=1,1,0)</f>
        <v>0</v>
      </c>
    </row>
    <row r="952" spans="1:11" x14ac:dyDescent="0.2">
      <c r="A952" s="9">
        <v>948</v>
      </c>
      <c r="B952" s="5" t="s">
        <v>947</v>
      </c>
      <c r="C952" s="6">
        <v>43575</v>
      </c>
      <c r="D952" s="6">
        <v>43563</v>
      </c>
      <c r="E952" s="6">
        <v>43519</v>
      </c>
      <c r="F952" s="6">
        <v>43366</v>
      </c>
      <c r="G952" s="6">
        <v>43231</v>
      </c>
      <c r="H952" s="6">
        <v>43410</v>
      </c>
      <c r="I952" s="1" t="str">
        <f t="shared" si="28"/>
        <v xml:space="preserve"> California</v>
      </c>
      <c r="J952" s="1" t="str">
        <f t="shared" si="29"/>
        <v>Danville town</v>
      </c>
      <c r="K952" s="1">
        <f>IF(COUNTIF($I$5:I952,I952)=1,1,0)</f>
        <v>0</v>
      </c>
    </row>
    <row r="953" spans="1:11" x14ac:dyDescent="0.2">
      <c r="A953" s="9">
        <v>949</v>
      </c>
      <c r="B953" s="5" t="s">
        <v>948</v>
      </c>
      <c r="C953" s="6">
        <v>41352</v>
      </c>
      <c r="D953" s="6">
        <v>41494</v>
      </c>
      <c r="E953" s="6">
        <v>42189</v>
      </c>
      <c r="F953" s="6">
        <v>42559</v>
      </c>
      <c r="G953" s="6">
        <v>42978</v>
      </c>
      <c r="H953" s="6">
        <v>43266</v>
      </c>
      <c r="I953" s="1" t="str">
        <f t="shared" si="28"/>
        <v xml:space="preserve"> Arizona</v>
      </c>
      <c r="J953" s="1" t="str">
        <f t="shared" si="29"/>
        <v>Bullhead City city</v>
      </c>
      <c r="K953" s="1">
        <f>IF(COUNTIF($I$5:I953,I953)=1,1,0)</f>
        <v>0</v>
      </c>
    </row>
    <row r="954" spans="1:11" x14ac:dyDescent="0.2">
      <c r="A954" s="9">
        <v>950</v>
      </c>
      <c r="B954" s="5" t="s">
        <v>949</v>
      </c>
      <c r="C954" s="6">
        <v>42674</v>
      </c>
      <c r="D954" s="6">
        <v>42571</v>
      </c>
      <c r="E954" s="6">
        <v>42376</v>
      </c>
      <c r="F954" s="6">
        <v>42477</v>
      </c>
      <c r="G954" s="6">
        <v>42743</v>
      </c>
      <c r="H954" s="6">
        <v>43223</v>
      </c>
      <c r="I954" s="1" t="str">
        <f t="shared" si="28"/>
        <v xml:space="preserve"> Massachusetts</v>
      </c>
      <c r="J954" s="1" t="str">
        <f t="shared" si="29"/>
        <v>Beverly city</v>
      </c>
      <c r="K954" s="1">
        <f>IF(COUNTIF($I$5:I954,I954)=1,1,0)</f>
        <v>0</v>
      </c>
    </row>
    <row r="955" spans="1:11" x14ac:dyDescent="0.2">
      <c r="A955" s="9">
        <v>951</v>
      </c>
      <c r="B955" s="5" t="s">
        <v>950</v>
      </c>
      <c r="C955" s="6">
        <v>45262</v>
      </c>
      <c r="D955" s="6">
        <v>45106</v>
      </c>
      <c r="E955" s="6">
        <v>44658</v>
      </c>
      <c r="F955" s="6">
        <v>43938</v>
      </c>
      <c r="G955" s="6">
        <v>43551</v>
      </c>
      <c r="H955" s="6">
        <v>43133</v>
      </c>
      <c r="I955" s="1" t="str">
        <f t="shared" si="28"/>
        <v xml:space="preserve"> Louisiana</v>
      </c>
      <c r="J955" s="1" t="str">
        <f t="shared" si="29"/>
        <v>Alexandria city</v>
      </c>
      <c r="K955" s="1">
        <f>IF(COUNTIF($I$5:I955,I955)=1,1,0)</f>
        <v>0</v>
      </c>
    </row>
    <row r="956" spans="1:11" x14ac:dyDescent="0.2">
      <c r="A956" s="9">
        <v>952</v>
      </c>
      <c r="B956" s="5" t="s">
        <v>951</v>
      </c>
      <c r="C956" s="6">
        <v>43959</v>
      </c>
      <c r="D956" s="6">
        <v>43836</v>
      </c>
      <c r="E956" s="6">
        <v>43697</v>
      </c>
      <c r="F956" s="6">
        <v>43455</v>
      </c>
      <c r="G956" s="6">
        <v>43193</v>
      </c>
      <c r="H956" s="6">
        <v>43121</v>
      </c>
      <c r="I956" s="1" t="str">
        <f t="shared" si="28"/>
        <v xml:space="preserve"> Massachusetts</v>
      </c>
      <c r="J956" s="1" t="str">
        <f t="shared" si="29"/>
        <v>Pittsfield city</v>
      </c>
      <c r="K956" s="1">
        <f>IF(COUNTIF($I$5:I956,I956)=1,1,0)</f>
        <v>0</v>
      </c>
    </row>
    <row r="957" spans="1:11" x14ac:dyDescent="0.2">
      <c r="A957" s="9">
        <v>953</v>
      </c>
      <c r="B957" s="5" t="s">
        <v>952</v>
      </c>
      <c r="C957" s="6">
        <v>43199</v>
      </c>
      <c r="D957" s="6">
        <v>43094</v>
      </c>
      <c r="E957" s="6">
        <v>42829</v>
      </c>
      <c r="F957" s="6">
        <v>42713</v>
      </c>
      <c r="G957" s="6">
        <v>42822</v>
      </c>
      <c r="H957" s="6">
        <v>43072</v>
      </c>
      <c r="I957" s="1" t="str">
        <f t="shared" si="28"/>
        <v xml:space="preserve"> Illinois</v>
      </c>
      <c r="J957" s="1" t="str">
        <f t="shared" si="29"/>
        <v>Buffalo Grove village</v>
      </c>
      <c r="K957" s="1">
        <f>IF(COUNTIF($I$5:I957,I957)=1,1,0)</f>
        <v>0</v>
      </c>
    </row>
    <row r="958" spans="1:11" x14ac:dyDescent="0.2">
      <c r="A958" s="9">
        <v>954</v>
      </c>
      <c r="B958" s="5" t="s">
        <v>953</v>
      </c>
      <c r="C958" s="6">
        <v>39852</v>
      </c>
      <c r="D958" s="6">
        <v>39783</v>
      </c>
      <c r="E958" s="6">
        <v>39812</v>
      </c>
      <c r="F958" s="6">
        <v>40696</v>
      </c>
      <c r="G958" s="6">
        <v>41144</v>
      </c>
      <c r="H958" s="6">
        <v>43046</v>
      </c>
      <c r="I958" s="1" t="str">
        <f t="shared" si="28"/>
        <v xml:space="preserve"> Florida</v>
      </c>
      <c r="J958" s="1" t="str">
        <f t="shared" si="29"/>
        <v>Plant City city</v>
      </c>
      <c r="K958" s="1">
        <f>IF(COUNTIF($I$5:I958,I958)=1,1,0)</f>
        <v>0</v>
      </c>
    </row>
    <row r="959" spans="1:11" x14ac:dyDescent="0.2">
      <c r="A959" s="9">
        <v>955</v>
      </c>
      <c r="B959" s="5" t="s">
        <v>954</v>
      </c>
      <c r="C959" s="6">
        <v>41210</v>
      </c>
      <c r="D959" s="6">
        <v>41127</v>
      </c>
      <c r="E959" s="6">
        <v>41095</v>
      </c>
      <c r="F959" s="6">
        <v>41594</v>
      </c>
      <c r="G959" s="6">
        <v>42385</v>
      </c>
      <c r="H959" s="6">
        <v>43043</v>
      </c>
      <c r="I959" s="1" t="str">
        <f t="shared" si="28"/>
        <v xml:space="preserve"> Florida</v>
      </c>
      <c r="J959" s="1" t="str">
        <f t="shared" si="29"/>
        <v>Hallandale Beach city</v>
      </c>
      <c r="K959" s="1">
        <f>IF(COUNTIF($I$5:I959,I959)=1,1,0)</f>
        <v>0</v>
      </c>
    </row>
    <row r="960" spans="1:11" x14ac:dyDescent="0.2">
      <c r="A960" s="9">
        <v>956</v>
      </c>
      <c r="B960" s="5" t="s">
        <v>955</v>
      </c>
      <c r="C960" s="6">
        <v>44207</v>
      </c>
      <c r="D960" s="6">
        <v>44114</v>
      </c>
      <c r="E960" s="6">
        <v>43892</v>
      </c>
      <c r="F960" s="6">
        <v>43476</v>
      </c>
      <c r="G960" s="6">
        <v>43172</v>
      </c>
      <c r="H960" s="6">
        <v>43001</v>
      </c>
      <c r="I960" s="1" t="str">
        <f t="shared" si="28"/>
        <v xml:space="preserve"> Michigan</v>
      </c>
      <c r="J960" s="1" t="str">
        <f t="shared" si="29"/>
        <v>Saginaw city</v>
      </c>
      <c r="K960" s="1">
        <f>IF(COUNTIF($I$5:I960,I960)=1,1,0)</f>
        <v>0</v>
      </c>
    </row>
    <row r="961" spans="1:11" x14ac:dyDescent="0.2">
      <c r="A961" s="9">
        <v>957</v>
      </c>
      <c r="B961" s="5" t="s">
        <v>956</v>
      </c>
      <c r="C961" s="6">
        <v>43488</v>
      </c>
      <c r="D961" s="6">
        <v>43445</v>
      </c>
      <c r="E961" s="6">
        <v>43219</v>
      </c>
      <c r="F961" s="6">
        <v>42826</v>
      </c>
      <c r="G961" s="6">
        <v>42877</v>
      </c>
      <c r="H961" s="6">
        <v>42958</v>
      </c>
      <c r="I961" s="1" t="str">
        <f t="shared" si="28"/>
        <v xml:space="preserve"> South Carolina</v>
      </c>
      <c r="J961" s="1" t="str">
        <f t="shared" si="29"/>
        <v>Sumter city</v>
      </c>
      <c r="K961" s="1">
        <f>IF(COUNTIF($I$5:I961,I961)=1,1,0)</f>
        <v>0</v>
      </c>
    </row>
    <row r="962" spans="1:11" x14ac:dyDescent="0.2">
      <c r="A962" s="9">
        <v>958</v>
      </c>
      <c r="B962" s="5" t="s">
        <v>957</v>
      </c>
      <c r="C962" s="6">
        <v>41083</v>
      </c>
      <c r="D962" s="6">
        <v>41065</v>
      </c>
      <c r="E962" s="6">
        <v>41113</v>
      </c>
      <c r="F962" s="6">
        <v>41253</v>
      </c>
      <c r="G962" s="6">
        <v>41511</v>
      </c>
      <c r="H962" s="6">
        <v>42897</v>
      </c>
      <c r="I962" s="1" t="str">
        <f t="shared" si="28"/>
        <v xml:space="preserve"> Ohio</v>
      </c>
      <c r="J962" s="1" t="str">
        <f t="shared" si="29"/>
        <v>Reynoldsburg city</v>
      </c>
      <c r="K962" s="1">
        <f>IF(COUNTIF($I$5:I962,I962)=1,1,0)</f>
        <v>0</v>
      </c>
    </row>
    <row r="963" spans="1:11" x14ac:dyDescent="0.2">
      <c r="A963" s="9">
        <v>959</v>
      </c>
      <c r="B963" s="5" t="s">
        <v>958</v>
      </c>
      <c r="C963" s="6">
        <v>43957</v>
      </c>
      <c r="D963" s="6">
        <v>43787</v>
      </c>
      <c r="E963" s="6">
        <v>42628</v>
      </c>
      <c r="F963" s="6">
        <v>42236</v>
      </c>
      <c r="G963" s="6">
        <v>42347</v>
      </c>
      <c r="H963" s="6">
        <v>42895</v>
      </c>
      <c r="I963" s="1" t="str">
        <f t="shared" si="28"/>
        <v xml:space="preserve"> California</v>
      </c>
      <c r="J963" s="1" t="str">
        <f t="shared" si="29"/>
        <v>Campbell city</v>
      </c>
      <c r="K963" s="1">
        <f>IF(COUNTIF($I$5:I963,I963)=1,1,0)</f>
        <v>0</v>
      </c>
    </row>
    <row r="964" spans="1:11" x14ac:dyDescent="0.2">
      <c r="A964" s="9">
        <v>960</v>
      </c>
      <c r="B964" s="5" t="s">
        <v>959</v>
      </c>
      <c r="C964" s="6">
        <v>42853</v>
      </c>
      <c r="D964" s="6">
        <v>42835</v>
      </c>
      <c r="E964" s="6">
        <v>42663</v>
      </c>
      <c r="F964" s="6">
        <v>42595</v>
      </c>
      <c r="G964" s="6">
        <v>42696</v>
      </c>
      <c r="H964" s="6">
        <v>42871</v>
      </c>
      <c r="I964" s="1" t="str">
        <f t="shared" si="28"/>
        <v xml:space="preserve"> Washington</v>
      </c>
      <c r="J964" s="1" t="str">
        <f t="shared" si="29"/>
        <v>Edmonds city</v>
      </c>
      <c r="K964" s="1">
        <f>IF(COUNTIF($I$5:I964,I964)=1,1,0)</f>
        <v>0</v>
      </c>
    </row>
    <row r="965" spans="1:11" x14ac:dyDescent="0.2">
      <c r="A965" s="9">
        <v>961</v>
      </c>
      <c r="B965" s="5" t="s">
        <v>960</v>
      </c>
      <c r="C965" s="6">
        <v>38313</v>
      </c>
      <c r="D965" s="6">
        <v>38401</v>
      </c>
      <c r="E965" s="6">
        <v>38710</v>
      </c>
      <c r="F965" s="6">
        <v>39457</v>
      </c>
      <c r="G965" s="6">
        <v>41367</v>
      </c>
      <c r="H965" s="6">
        <v>42821</v>
      </c>
      <c r="I965" s="1" t="str">
        <f t="shared" si="28"/>
        <v xml:space="preserve"> Oklahoma</v>
      </c>
      <c r="J965" s="1" t="str">
        <f t="shared" si="29"/>
        <v>Owasso city</v>
      </c>
      <c r="K965" s="1">
        <f>IF(COUNTIF($I$5:I965,I965)=1,1,0)</f>
        <v>0</v>
      </c>
    </row>
    <row r="966" spans="1:11" x14ac:dyDescent="0.2">
      <c r="A966" s="9">
        <v>962</v>
      </c>
      <c r="B966" s="5" t="s">
        <v>961</v>
      </c>
      <c r="C966" s="6">
        <v>40880</v>
      </c>
      <c r="D966" s="6">
        <v>40762</v>
      </c>
      <c r="E966" s="6">
        <v>41610</v>
      </c>
      <c r="F966" s="6">
        <v>41870</v>
      </c>
      <c r="G966" s="6">
        <v>42288</v>
      </c>
      <c r="H966" s="6">
        <v>42805</v>
      </c>
      <c r="I966" s="1" t="str">
        <f t="shared" ref="I966:I1029" si="30">_xlfn.TEXTAFTER(B966,",")</f>
        <v xml:space="preserve"> Connecticut</v>
      </c>
      <c r="J966" s="1" t="str">
        <f t="shared" ref="J966:J1029" si="31">_xlfn.TEXTBEFORE(B966,", ")</f>
        <v>Shelton city</v>
      </c>
      <c r="K966" s="1">
        <f>IF(COUNTIF($I$5:I966,I966)=1,1,0)</f>
        <v>0</v>
      </c>
    </row>
    <row r="967" spans="1:11" x14ac:dyDescent="0.2">
      <c r="A967" s="9">
        <v>963</v>
      </c>
      <c r="B967" s="5" t="s">
        <v>962</v>
      </c>
      <c r="C967" s="6">
        <v>42664</v>
      </c>
      <c r="D967" s="6">
        <v>42649</v>
      </c>
      <c r="E967" s="6">
        <v>42620</v>
      </c>
      <c r="F967" s="6">
        <v>42705</v>
      </c>
      <c r="G967" s="6">
        <v>42783</v>
      </c>
      <c r="H967" s="6">
        <v>42780</v>
      </c>
      <c r="I967" s="1" t="str">
        <f t="shared" si="30"/>
        <v xml:space="preserve"> Michigan</v>
      </c>
      <c r="J967" s="1" t="str">
        <f t="shared" si="31"/>
        <v>Midland city</v>
      </c>
      <c r="K967" s="1">
        <f>IF(COUNTIF($I$5:I967,I967)=1,1,0)</f>
        <v>0</v>
      </c>
    </row>
    <row r="968" spans="1:11" x14ac:dyDescent="0.2">
      <c r="A968" s="9">
        <v>964</v>
      </c>
      <c r="B968" s="5" t="s">
        <v>963</v>
      </c>
      <c r="C968" s="6">
        <v>38835</v>
      </c>
      <c r="D968" s="6">
        <v>38990</v>
      </c>
      <c r="E968" s="6">
        <v>39966</v>
      </c>
      <c r="F968" s="6">
        <v>41085</v>
      </c>
      <c r="G968" s="6">
        <v>42108</v>
      </c>
      <c r="H968" s="6">
        <v>42760</v>
      </c>
      <c r="I968" s="1" t="str">
        <f t="shared" si="30"/>
        <v xml:space="preserve"> Minnesota</v>
      </c>
      <c r="J968" s="1" t="str">
        <f t="shared" si="31"/>
        <v>Cottage Grove city</v>
      </c>
      <c r="K968" s="1">
        <f>IF(COUNTIF($I$5:I968,I968)=1,1,0)</f>
        <v>0</v>
      </c>
    </row>
    <row r="969" spans="1:11" x14ac:dyDescent="0.2">
      <c r="A969" s="9">
        <v>965</v>
      </c>
      <c r="B969" s="5" t="s">
        <v>964</v>
      </c>
      <c r="C969" s="6">
        <v>43951</v>
      </c>
      <c r="D969" s="6">
        <v>43877</v>
      </c>
      <c r="E969" s="6">
        <v>43531</v>
      </c>
      <c r="F969" s="6">
        <v>43062</v>
      </c>
      <c r="G969" s="6">
        <v>42852</v>
      </c>
      <c r="H969" s="6">
        <v>42719</v>
      </c>
      <c r="I969" s="1" t="str">
        <f t="shared" si="30"/>
        <v xml:space="preserve"> Pennsylvania</v>
      </c>
      <c r="J969" s="1" t="str">
        <f t="shared" si="31"/>
        <v>Altoona city</v>
      </c>
      <c r="K969" s="1">
        <f>IF(COUNTIF($I$5:I969,I969)=1,1,0)</f>
        <v>0</v>
      </c>
    </row>
    <row r="970" spans="1:11" x14ac:dyDescent="0.2">
      <c r="A970" s="9">
        <v>966</v>
      </c>
      <c r="B970" s="5" t="s">
        <v>965</v>
      </c>
      <c r="C970" s="6">
        <v>40178</v>
      </c>
      <c r="D970" s="6">
        <v>40586</v>
      </c>
      <c r="E970" s="6">
        <v>41054</v>
      </c>
      <c r="F970" s="6">
        <v>41677</v>
      </c>
      <c r="G970" s="6">
        <v>42442</v>
      </c>
      <c r="H970" s="6">
        <v>42716</v>
      </c>
      <c r="I970" s="1" t="str">
        <f t="shared" si="30"/>
        <v xml:space="preserve"> Alabama</v>
      </c>
      <c r="J970" s="1" t="str">
        <f t="shared" si="31"/>
        <v>Florence city</v>
      </c>
      <c r="K970" s="1">
        <f>IF(COUNTIF($I$5:I970,I970)=1,1,0)</f>
        <v>0</v>
      </c>
    </row>
    <row r="971" spans="1:11" x14ac:dyDescent="0.2">
      <c r="A971" s="9">
        <v>967</v>
      </c>
      <c r="B971" s="5" t="s">
        <v>966</v>
      </c>
      <c r="C971" s="6">
        <v>27586</v>
      </c>
      <c r="D971" s="6">
        <v>28086</v>
      </c>
      <c r="E971" s="6">
        <v>30902</v>
      </c>
      <c r="F971" s="6">
        <v>36709</v>
      </c>
      <c r="G971" s="6">
        <v>38980</v>
      </c>
      <c r="H971" s="6">
        <v>42661</v>
      </c>
      <c r="I971" s="1" t="str">
        <f t="shared" si="30"/>
        <v xml:space="preserve"> Texas</v>
      </c>
      <c r="J971" s="1" t="str">
        <f t="shared" si="31"/>
        <v>Hutto city</v>
      </c>
      <c r="K971" s="1">
        <f>IF(COUNTIF($I$5:I971,I971)=1,1,0)</f>
        <v>0</v>
      </c>
    </row>
    <row r="972" spans="1:11" x14ac:dyDescent="0.2">
      <c r="A972" s="9">
        <v>968</v>
      </c>
      <c r="B972" s="5" t="s">
        <v>967</v>
      </c>
      <c r="C972" s="6">
        <v>42265</v>
      </c>
      <c r="D972" s="6">
        <v>42245</v>
      </c>
      <c r="E972" s="6">
        <v>42155</v>
      </c>
      <c r="F972" s="6">
        <v>42339</v>
      </c>
      <c r="G972" s="6">
        <v>42497</v>
      </c>
      <c r="H972" s="6">
        <v>42638</v>
      </c>
      <c r="I972" s="1" t="str">
        <f t="shared" si="30"/>
        <v xml:space="preserve"> Georgia</v>
      </c>
      <c r="J972" s="1" t="str">
        <f t="shared" si="31"/>
        <v>Peachtree Corners city</v>
      </c>
      <c r="K972" s="1">
        <f>IF(COUNTIF($I$5:I972,I972)=1,1,0)</f>
        <v>0</v>
      </c>
    </row>
    <row r="973" spans="1:11" x14ac:dyDescent="0.2">
      <c r="A973" s="9">
        <v>969</v>
      </c>
      <c r="B973" s="5" t="s">
        <v>968</v>
      </c>
      <c r="C973" s="6">
        <v>38252</v>
      </c>
      <c r="D973" s="6">
        <v>38494</v>
      </c>
      <c r="E973" s="6">
        <v>39567</v>
      </c>
      <c r="F973" s="6">
        <v>40931</v>
      </c>
      <c r="G973" s="6">
        <v>41693</v>
      </c>
      <c r="H973" s="6">
        <v>42571</v>
      </c>
      <c r="I973" s="1" t="str">
        <f t="shared" si="30"/>
        <v xml:space="preserve"> Texas</v>
      </c>
      <c r="J973" s="1" t="str">
        <f t="shared" si="31"/>
        <v>Rosenberg city</v>
      </c>
      <c r="K973" s="1">
        <f>IF(COUNTIF($I$5:I973,I973)=1,1,0)</f>
        <v>0</v>
      </c>
    </row>
    <row r="974" spans="1:11" x14ac:dyDescent="0.2">
      <c r="A974" s="9">
        <v>970</v>
      </c>
      <c r="B974" s="5" t="s">
        <v>969</v>
      </c>
      <c r="C974" s="6">
        <v>43237</v>
      </c>
      <c r="D974" s="6">
        <v>42528</v>
      </c>
      <c r="E974" s="6">
        <v>42394</v>
      </c>
      <c r="F974" s="6">
        <v>42536</v>
      </c>
      <c r="G974" s="6">
        <v>42573</v>
      </c>
      <c r="H974" s="6">
        <v>42564</v>
      </c>
      <c r="I974" s="1" t="str">
        <f t="shared" si="30"/>
        <v xml:space="preserve"> Missouri</v>
      </c>
      <c r="J974" s="1" t="str">
        <f t="shared" si="31"/>
        <v>Jefferson City city</v>
      </c>
      <c r="K974" s="1">
        <f>IF(COUNTIF($I$5:I974,I974)=1,1,0)</f>
        <v>0</v>
      </c>
    </row>
    <row r="975" spans="1:11" x14ac:dyDescent="0.2">
      <c r="A975" s="9">
        <v>971</v>
      </c>
      <c r="B975" s="5" t="s">
        <v>970</v>
      </c>
      <c r="C975" s="6">
        <v>42977</v>
      </c>
      <c r="D975" s="6">
        <v>43037</v>
      </c>
      <c r="E975" s="6">
        <v>43015</v>
      </c>
      <c r="F975" s="6">
        <v>42712</v>
      </c>
      <c r="G975" s="6">
        <v>42484</v>
      </c>
      <c r="H975" s="6">
        <v>42552</v>
      </c>
      <c r="I975" s="1" t="str">
        <f t="shared" si="30"/>
        <v xml:space="preserve"> Washington</v>
      </c>
      <c r="J975" s="1" t="str">
        <f t="shared" si="31"/>
        <v>Puyallup city</v>
      </c>
      <c r="K975" s="1">
        <f>IF(COUNTIF($I$5:I975,I975)=1,1,0)</f>
        <v>0</v>
      </c>
    </row>
    <row r="976" spans="1:11" x14ac:dyDescent="0.2">
      <c r="A976" s="9">
        <v>972</v>
      </c>
      <c r="B976" s="5" t="s">
        <v>971</v>
      </c>
      <c r="C976" s="6">
        <v>41552</v>
      </c>
      <c r="D976" s="6">
        <v>41574</v>
      </c>
      <c r="E976" s="6">
        <v>41660</v>
      </c>
      <c r="F976" s="6">
        <v>41607</v>
      </c>
      <c r="G976" s="6">
        <v>42127</v>
      </c>
      <c r="H976" s="6">
        <v>42542</v>
      </c>
      <c r="I976" s="1" t="str">
        <f t="shared" si="30"/>
        <v xml:space="preserve"> Iowa</v>
      </c>
      <c r="J976" s="1" t="str">
        <f t="shared" si="31"/>
        <v>Marion city</v>
      </c>
      <c r="K976" s="1">
        <f>IF(COUNTIF($I$5:I976,I976)=1,1,0)</f>
        <v>0</v>
      </c>
    </row>
    <row r="977" spans="1:11" x14ac:dyDescent="0.2">
      <c r="A977" s="9">
        <v>973</v>
      </c>
      <c r="B977" s="5" t="s">
        <v>972</v>
      </c>
      <c r="C977" s="6">
        <v>42983</v>
      </c>
      <c r="D977" s="6">
        <v>42891</v>
      </c>
      <c r="E977" s="6">
        <v>42463</v>
      </c>
      <c r="F977" s="6">
        <v>42107</v>
      </c>
      <c r="G977" s="6">
        <v>42165</v>
      </c>
      <c r="H977" s="6">
        <v>42442</v>
      </c>
      <c r="I977" s="1" t="str">
        <f t="shared" si="30"/>
        <v xml:space="preserve"> Illinois</v>
      </c>
      <c r="J977" s="1" t="str">
        <f t="shared" si="31"/>
        <v>Moline city</v>
      </c>
      <c r="K977" s="1">
        <f>IF(COUNTIF($I$5:I977,I977)=1,1,0)</f>
        <v>0</v>
      </c>
    </row>
    <row r="978" spans="1:11" x14ac:dyDescent="0.2">
      <c r="A978" s="9">
        <v>974</v>
      </c>
      <c r="B978" s="5" t="s">
        <v>973</v>
      </c>
      <c r="C978" s="6">
        <v>41800</v>
      </c>
      <c r="D978" s="6">
        <v>41685</v>
      </c>
      <c r="E978" s="6">
        <v>41244</v>
      </c>
      <c r="F978" s="6">
        <v>41406</v>
      </c>
      <c r="G978" s="6">
        <v>41784</v>
      </c>
      <c r="H978" s="6">
        <v>42169</v>
      </c>
      <c r="I978" s="1" t="str">
        <f t="shared" si="30"/>
        <v xml:space="preserve"> Massachusetts</v>
      </c>
      <c r="J978" s="1" t="str">
        <f t="shared" si="31"/>
        <v>Marlborough city</v>
      </c>
      <c r="K978" s="1">
        <f>IF(COUNTIF($I$5:I978,I978)=1,1,0)</f>
        <v>0</v>
      </c>
    </row>
    <row r="979" spans="1:11" x14ac:dyDescent="0.2">
      <c r="A979" s="9">
        <v>975</v>
      </c>
      <c r="B979" s="5" t="s">
        <v>974</v>
      </c>
      <c r="C979" s="6">
        <v>41948</v>
      </c>
      <c r="D979" s="6">
        <v>41672</v>
      </c>
      <c r="E979" s="6">
        <v>41665</v>
      </c>
      <c r="F979" s="6">
        <v>41668</v>
      </c>
      <c r="G979" s="6">
        <v>41840</v>
      </c>
      <c r="H979" s="6">
        <v>42145</v>
      </c>
      <c r="I979" s="1" t="str">
        <f t="shared" si="30"/>
        <v xml:space="preserve"> Massachusetts</v>
      </c>
      <c r="J979" s="1" t="str">
        <f t="shared" si="31"/>
        <v>Fitchburg city</v>
      </c>
      <c r="K979" s="1">
        <f>IF(COUNTIF($I$5:I979,I979)=1,1,0)</f>
        <v>0</v>
      </c>
    </row>
    <row r="980" spans="1:11" x14ac:dyDescent="0.2">
      <c r="A980" s="9">
        <v>976</v>
      </c>
      <c r="B980" s="5" t="s">
        <v>975</v>
      </c>
      <c r="C980" s="6">
        <v>27540</v>
      </c>
      <c r="D980" s="6">
        <v>27949</v>
      </c>
      <c r="E980" s="6">
        <v>29916</v>
      </c>
      <c r="F980" s="6">
        <v>33735</v>
      </c>
      <c r="G980" s="6">
        <v>37538</v>
      </c>
      <c r="H980" s="6">
        <v>42073</v>
      </c>
      <c r="I980" s="1" t="str">
        <f t="shared" si="30"/>
        <v xml:space="preserve"> Florida</v>
      </c>
      <c r="J980" s="1" t="str">
        <f t="shared" si="31"/>
        <v>Haines City city</v>
      </c>
      <c r="K980" s="1">
        <f>IF(COUNTIF($I$5:I980,I980)=1,1,0)</f>
        <v>0</v>
      </c>
    </row>
    <row r="981" spans="1:11" x14ac:dyDescent="0.2">
      <c r="A981" s="9">
        <v>977</v>
      </c>
      <c r="B981" s="5" t="s">
        <v>976</v>
      </c>
      <c r="C981" s="6">
        <v>43891</v>
      </c>
      <c r="D981" s="6">
        <v>43750</v>
      </c>
      <c r="E981" s="6">
        <v>42279</v>
      </c>
      <c r="F981" s="6">
        <v>41772</v>
      </c>
      <c r="G981" s="6">
        <v>41727</v>
      </c>
      <c r="H981" s="6">
        <v>42035</v>
      </c>
      <c r="I981" s="1" t="str">
        <f t="shared" si="30"/>
        <v xml:space="preserve"> California</v>
      </c>
      <c r="J981" s="1" t="str">
        <f t="shared" si="31"/>
        <v>San Bruno city</v>
      </c>
      <c r="K981" s="1">
        <f>IF(COUNTIF($I$5:I981,I981)=1,1,0)</f>
        <v>0</v>
      </c>
    </row>
    <row r="982" spans="1:11" x14ac:dyDescent="0.2">
      <c r="A982" s="9">
        <v>978</v>
      </c>
      <c r="B982" s="5" t="s">
        <v>977</v>
      </c>
      <c r="C982" s="6">
        <v>42586</v>
      </c>
      <c r="D982" s="6">
        <v>42578</v>
      </c>
      <c r="E982" s="6">
        <v>42292</v>
      </c>
      <c r="F982" s="6">
        <v>42099</v>
      </c>
      <c r="G982" s="6">
        <v>42108</v>
      </c>
      <c r="H982" s="6">
        <v>41993</v>
      </c>
      <c r="I982" s="1" t="str">
        <f t="shared" si="30"/>
        <v xml:space="preserve"> Virginia</v>
      </c>
      <c r="J982" s="1" t="str">
        <f t="shared" si="31"/>
        <v>Danville city</v>
      </c>
      <c r="K982" s="1">
        <f>IF(COUNTIF($I$5:I982,I982)=1,1,0)</f>
        <v>0</v>
      </c>
    </row>
    <row r="983" spans="1:11" x14ac:dyDescent="0.2">
      <c r="A983" s="9">
        <v>979</v>
      </c>
      <c r="B983" s="5" t="s">
        <v>978</v>
      </c>
      <c r="C983" s="6">
        <v>39441</v>
      </c>
      <c r="D983" s="6">
        <v>39515</v>
      </c>
      <c r="E983" s="6">
        <v>39529</v>
      </c>
      <c r="F983" s="6">
        <v>40102</v>
      </c>
      <c r="G983" s="6">
        <v>40625</v>
      </c>
      <c r="H983" s="6">
        <v>41948</v>
      </c>
      <c r="I983" s="1" t="str">
        <f t="shared" si="30"/>
        <v xml:space="preserve"> Florida</v>
      </c>
      <c r="J983" s="1" t="str">
        <f t="shared" si="31"/>
        <v>Royal Palm Beach village</v>
      </c>
      <c r="K983" s="1">
        <f>IF(COUNTIF($I$5:I983,I983)=1,1,0)</f>
        <v>0</v>
      </c>
    </row>
    <row r="984" spans="1:11" x14ac:dyDescent="0.2">
      <c r="A984" s="9">
        <v>980</v>
      </c>
      <c r="B984" s="5" t="s">
        <v>979</v>
      </c>
      <c r="C984" s="6">
        <v>40059</v>
      </c>
      <c r="D984" s="6">
        <v>40012</v>
      </c>
      <c r="E984" s="6">
        <v>39517</v>
      </c>
      <c r="F984" s="6">
        <v>39785</v>
      </c>
      <c r="G984" s="6">
        <v>41659</v>
      </c>
      <c r="H984" s="6">
        <v>41901</v>
      </c>
      <c r="I984" s="1" t="str">
        <f t="shared" si="30"/>
        <v xml:space="preserve"> Florida</v>
      </c>
      <c r="J984" s="1" t="str">
        <f t="shared" si="31"/>
        <v>Oviedo city</v>
      </c>
      <c r="K984" s="1">
        <f>IF(COUNTIF($I$5:I984,I984)=1,1,0)</f>
        <v>0</v>
      </c>
    </row>
    <row r="985" spans="1:11" x14ac:dyDescent="0.2">
      <c r="A985" s="9">
        <v>981</v>
      </c>
      <c r="B985" s="5" t="s">
        <v>980</v>
      </c>
      <c r="C985" s="6">
        <v>42982</v>
      </c>
      <c r="D985" s="6">
        <v>42841</v>
      </c>
      <c r="E985" s="6">
        <v>42223</v>
      </c>
      <c r="F985" s="6">
        <v>42021</v>
      </c>
      <c r="G985" s="6">
        <v>41864</v>
      </c>
      <c r="H985" s="6">
        <v>41785</v>
      </c>
      <c r="I985" s="1" t="str">
        <f t="shared" si="30"/>
        <v xml:space="preserve"> Texas</v>
      </c>
      <c r="J985" s="1" t="str">
        <f t="shared" si="31"/>
        <v>Coppell city</v>
      </c>
      <c r="K985" s="1">
        <f>IF(COUNTIF($I$5:I985,I985)=1,1,0)</f>
        <v>0</v>
      </c>
    </row>
    <row r="986" spans="1:11" x14ac:dyDescent="0.2">
      <c r="A986" s="9">
        <v>982</v>
      </c>
      <c r="B986" s="5" t="s">
        <v>981</v>
      </c>
      <c r="C986" s="6">
        <v>32722</v>
      </c>
      <c r="D986" s="6">
        <v>33241</v>
      </c>
      <c r="E986" s="6">
        <v>35770</v>
      </c>
      <c r="F986" s="6">
        <v>38502</v>
      </c>
      <c r="G986" s="6">
        <v>40392</v>
      </c>
      <c r="H986" s="6">
        <v>41734</v>
      </c>
      <c r="I986" s="1" t="str">
        <f t="shared" si="30"/>
        <v xml:space="preserve"> Colorado</v>
      </c>
      <c r="J986" s="1" t="str">
        <f t="shared" si="31"/>
        <v>Windsor town</v>
      </c>
      <c r="K986" s="1">
        <f>IF(COUNTIF($I$5:I986,I986)=1,1,0)</f>
        <v>0</v>
      </c>
    </row>
    <row r="987" spans="1:11" x14ac:dyDescent="0.2">
      <c r="A987" s="9">
        <v>983</v>
      </c>
      <c r="B987" s="5" t="s">
        <v>982</v>
      </c>
      <c r="C987" s="6">
        <v>40535</v>
      </c>
      <c r="D987" s="6">
        <v>40631</v>
      </c>
      <c r="E987" s="6">
        <v>40826</v>
      </c>
      <c r="F987" s="6">
        <v>41234</v>
      </c>
      <c r="G987" s="6">
        <v>41480</v>
      </c>
      <c r="H987" s="6">
        <v>41671</v>
      </c>
      <c r="I987" s="1" t="str">
        <f t="shared" si="30"/>
        <v xml:space="preserve"> Ohio</v>
      </c>
      <c r="J987" s="1" t="str">
        <f t="shared" si="31"/>
        <v>Lancaster city</v>
      </c>
      <c r="K987" s="1">
        <f>IF(COUNTIF($I$5:I987,I987)=1,1,0)</f>
        <v>0</v>
      </c>
    </row>
    <row r="988" spans="1:11" x14ac:dyDescent="0.2">
      <c r="A988" s="9">
        <v>984</v>
      </c>
      <c r="B988" s="5" t="s">
        <v>983</v>
      </c>
      <c r="C988" s="6">
        <v>40953</v>
      </c>
      <c r="D988" s="6">
        <v>40942</v>
      </c>
      <c r="E988" s="6">
        <v>40748</v>
      </c>
      <c r="F988" s="6">
        <v>40953</v>
      </c>
      <c r="G988" s="6">
        <v>41176</v>
      </c>
      <c r="H988" s="6">
        <v>41611</v>
      </c>
      <c r="I988" s="1" t="str">
        <f t="shared" si="30"/>
        <v xml:space="preserve"> Kentucky</v>
      </c>
      <c r="J988" s="1" t="str">
        <f t="shared" si="31"/>
        <v>Covington city</v>
      </c>
      <c r="K988" s="1">
        <f>IF(COUNTIF($I$5:I988,I988)=1,1,0)</f>
        <v>0</v>
      </c>
    </row>
    <row r="989" spans="1:11" x14ac:dyDescent="0.2">
      <c r="A989" s="9">
        <v>985</v>
      </c>
      <c r="B989" s="5" t="s">
        <v>984</v>
      </c>
      <c r="C989" s="6">
        <v>38571</v>
      </c>
      <c r="D989" s="6">
        <v>38549</v>
      </c>
      <c r="E989" s="6">
        <v>38910</v>
      </c>
      <c r="F989" s="6">
        <v>40434</v>
      </c>
      <c r="G989" s="6">
        <v>41069</v>
      </c>
      <c r="H989" s="6">
        <v>41597</v>
      </c>
      <c r="I989" s="1" t="str">
        <f t="shared" si="30"/>
        <v xml:space="preserve"> Washington</v>
      </c>
      <c r="J989" s="1" t="str">
        <f t="shared" si="31"/>
        <v>Lynnwood city</v>
      </c>
      <c r="K989" s="1">
        <f>IF(COUNTIF($I$5:I989,I989)=1,1,0)</f>
        <v>0</v>
      </c>
    </row>
    <row r="990" spans="1:11" x14ac:dyDescent="0.2">
      <c r="A990" s="9">
        <v>986</v>
      </c>
      <c r="B990" s="5" t="s">
        <v>985</v>
      </c>
      <c r="C990" s="6">
        <v>40264</v>
      </c>
      <c r="D990" s="6">
        <v>40240</v>
      </c>
      <c r="E990" s="6">
        <v>40501</v>
      </c>
      <c r="F990" s="6">
        <v>40676</v>
      </c>
      <c r="G990" s="6">
        <v>40941</v>
      </c>
      <c r="H990" s="6">
        <v>41513</v>
      </c>
      <c r="I990" s="1" t="str">
        <f t="shared" si="30"/>
        <v xml:space="preserve"> Illinois</v>
      </c>
      <c r="J990" s="1" t="str">
        <f t="shared" si="31"/>
        <v>Crystal Lake city</v>
      </c>
      <c r="K990" s="1">
        <f>IF(COUNTIF($I$5:I990,I990)=1,1,0)</f>
        <v>0</v>
      </c>
    </row>
    <row r="991" spans="1:11" x14ac:dyDescent="0.2">
      <c r="A991" s="9">
        <v>987</v>
      </c>
      <c r="B991" s="5" t="s">
        <v>986</v>
      </c>
      <c r="C991" s="6">
        <v>41291</v>
      </c>
      <c r="D991" s="6">
        <v>41398</v>
      </c>
      <c r="E991" s="6">
        <v>41325</v>
      </c>
      <c r="F991" s="6">
        <v>41920</v>
      </c>
      <c r="G991" s="6">
        <v>41590</v>
      </c>
      <c r="H991" s="6">
        <v>41490</v>
      </c>
      <c r="I991" s="1" t="str">
        <f t="shared" si="30"/>
        <v xml:space="preserve"> Georgia</v>
      </c>
      <c r="J991" s="1" t="str">
        <f t="shared" si="31"/>
        <v>Milton city</v>
      </c>
      <c r="K991" s="1">
        <f>IF(COUNTIF($I$5:I991,I991)=1,1,0)</f>
        <v>0</v>
      </c>
    </row>
    <row r="992" spans="1:11" x14ac:dyDescent="0.2">
      <c r="A992" s="9">
        <v>988</v>
      </c>
      <c r="B992" s="5" t="s">
        <v>987</v>
      </c>
      <c r="C992" s="6">
        <v>38709</v>
      </c>
      <c r="D992" s="6">
        <v>38705</v>
      </c>
      <c r="E992" s="6">
        <v>39626</v>
      </c>
      <c r="F992" s="6">
        <v>40366</v>
      </c>
      <c r="G992" s="6">
        <v>41051</v>
      </c>
      <c r="H992" s="6">
        <v>41430</v>
      </c>
      <c r="I992" s="1" t="str">
        <f t="shared" si="30"/>
        <v xml:space="preserve"> Tennessee</v>
      </c>
      <c r="J992" s="1" t="str">
        <f t="shared" si="31"/>
        <v>La Vergne city</v>
      </c>
      <c r="K992" s="1">
        <f>IF(COUNTIF($I$5:I992,I992)=1,1,0)</f>
        <v>0</v>
      </c>
    </row>
    <row r="993" spans="1:11" x14ac:dyDescent="0.2">
      <c r="A993" s="9">
        <v>989</v>
      </c>
      <c r="B993" s="5" t="s">
        <v>988</v>
      </c>
      <c r="C993" s="6">
        <v>40728</v>
      </c>
      <c r="D993" s="6">
        <v>40711</v>
      </c>
      <c r="E993" s="6">
        <v>40672</v>
      </c>
      <c r="F993" s="6">
        <v>40584</v>
      </c>
      <c r="G993" s="6">
        <v>41095</v>
      </c>
      <c r="H993" s="6">
        <v>41417</v>
      </c>
      <c r="I993" s="1" t="str">
        <f t="shared" si="30"/>
        <v xml:space="preserve"> Iowa</v>
      </c>
      <c r="J993" s="1" t="str">
        <f t="shared" si="31"/>
        <v>Cedar Falls city</v>
      </c>
      <c r="K993" s="1">
        <f>IF(COUNTIF($I$5:I993,I993)=1,1,0)</f>
        <v>0</v>
      </c>
    </row>
    <row r="994" spans="1:11" x14ac:dyDescent="0.2">
      <c r="A994" s="9">
        <v>990</v>
      </c>
      <c r="B994" s="5" t="s">
        <v>989</v>
      </c>
      <c r="C994" s="6">
        <v>38930</v>
      </c>
      <c r="D994" s="6">
        <v>39112</v>
      </c>
      <c r="E994" s="6">
        <v>39815</v>
      </c>
      <c r="F994" s="6">
        <v>40183</v>
      </c>
      <c r="G994" s="6">
        <v>40736</v>
      </c>
      <c r="H994" s="6">
        <v>41350</v>
      </c>
      <c r="I994" s="1" t="str">
        <f t="shared" si="30"/>
        <v xml:space="preserve"> Washington</v>
      </c>
      <c r="J994" s="1" t="str">
        <f t="shared" si="31"/>
        <v>Lake Stevens city</v>
      </c>
      <c r="K994" s="1">
        <f>IF(COUNTIF($I$5:I994,I994)=1,1,0)</f>
        <v>0</v>
      </c>
    </row>
    <row r="995" spans="1:11" x14ac:dyDescent="0.2">
      <c r="A995" s="9">
        <v>991</v>
      </c>
      <c r="B995" s="5" t="s">
        <v>990</v>
      </c>
      <c r="C995" s="6">
        <v>33378</v>
      </c>
      <c r="D995" s="6">
        <v>33560</v>
      </c>
      <c r="E995" s="6">
        <v>34453</v>
      </c>
      <c r="F995" s="6">
        <v>37368</v>
      </c>
      <c r="G995" s="6">
        <v>38894</v>
      </c>
      <c r="H995" s="6">
        <v>41298</v>
      </c>
      <c r="I995" s="1" t="str">
        <f t="shared" si="30"/>
        <v xml:space="preserve"> Utah</v>
      </c>
      <c r="J995" s="1" t="str">
        <f t="shared" si="31"/>
        <v>American Fork city</v>
      </c>
      <c r="K995" s="1">
        <f>IF(COUNTIF($I$5:I995,I995)=1,1,0)</f>
        <v>0</v>
      </c>
    </row>
    <row r="996" spans="1:11" x14ac:dyDescent="0.2">
      <c r="A996" s="9">
        <v>992</v>
      </c>
      <c r="B996" s="5" t="s">
        <v>991</v>
      </c>
      <c r="C996" s="6">
        <v>41065</v>
      </c>
      <c r="D996" s="6">
        <v>41027</v>
      </c>
      <c r="E996" s="6">
        <v>40959</v>
      </c>
      <c r="F996" s="6">
        <v>40828</v>
      </c>
      <c r="G996" s="6">
        <v>41056</v>
      </c>
      <c r="H996" s="6">
        <v>41291</v>
      </c>
      <c r="I996" s="1" t="str">
        <f t="shared" si="30"/>
        <v xml:space="preserve"> Texas</v>
      </c>
      <c r="J996" s="1" t="str">
        <f t="shared" si="31"/>
        <v>Friendswood city</v>
      </c>
      <c r="K996" s="1">
        <f>IF(COUNTIF($I$5:I996,I996)=1,1,0)</f>
        <v>0</v>
      </c>
    </row>
    <row r="997" spans="1:11" x14ac:dyDescent="0.2">
      <c r="A997" s="9">
        <v>993</v>
      </c>
      <c r="B997" s="5" t="s">
        <v>992</v>
      </c>
      <c r="C997" s="6">
        <v>41465</v>
      </c>
      <c r="D997" s="6">
        <v>41478</v>
      </c>
      <c r="E997" s="6">
        <v>41351</v>
      </c>
      <c r="F997" s="6">
        <v>41099</v>
      </c>
      <c r="G997" s="6">
        <v>41140</v>
      </c>
      <c r="H997" s="6">
        <v>41268</v>
      </c>
      <c r="I997" s="1" t="str">
        <f t="shared" si="30"/>
        <v xml:space="preserve"> Wisconsin</v>
      </c>
      <c r="J997" s="1" t="str">
        <f t="shared" si="31"/>
        <v>Brookfield city</v>
      </c>
      <c r="K997" s="1">
        <f>IF(COUNTIF($I$5:I997,I997)=1,1,0)</f>
        <v>0</v>
      </c>
    </row>
    <row r="998" spans="1:11" x14ac:dyDescent="0.2">
      <c r="A998" s="9">
        <v>994</v>
      </c>
      <c r="B998" s="5" t="s">
        <v>993</v>
      </c>
      <c r="C998" s="6">
        <v>40787</v>
      </c>
      <c r="D998" s="6">
        <v>40704</v>
      </c>
      <c r="E998" s="6">
        <v>41303</v>
      </c>
      <c r="F998" s="6">
        <v>40757</v>
      </c>
      <c r="G998" s="6">
        <v>41267</v>
      </c>
      <c r="H998" s="6">
        <v>41228</v>
      </c>
      <c r="I998" s="1" t="str">
        <f t="shared" si="30"/>
        <v xml:space="preserve"> Pennsylvania</v>
      </c>
      <c r="J998" s="1" t="str">
        <f t="shared" si="31"/>
        <v>State College borough</v>
      </c>
      <c r="K998" s="1">
        <f>IF(COUNTIF($I$5:I998,I998)=1,1,0)</f>
        <v>0</v>
      </c>
    </row>
    <row r="999" spans="1:11" x14ac:dyDescent="0.2">
      <c r="A999" s="9">
        <v>995</v>
      </c>
      <c r="B999" s="5" t="s">
        <v>994</v>
      </c>
      <c r="C999" s="6">
        <v>37949</v>
      </c>
      <c r="D999" s="6">
        <v>38083</v>
      </c>
      <c r="E999" s="6">
        <v>38767</v>
      </c>
      <c r="F999" s="6">
        <v>39199</v>
      </c>
      <c r="G999" s="6">
        <v>39724</v>
      </c>
      <c r="H999" s="6">
        <v>41188</v>
      </c>
      <c r="I999" s="1" t="str">
        <f t="shared" si="30"/>
        <v xml:space="preserve"> California</v>
      </c>
      <c r="J999" s="1" t="str">
        <f t="shared" si="31"/>
        <v>Stanton city</v>
      </c>
      <c r="K999" s="1">
        <f>IF(COUNTIF($I$5:I999,I999)=1,1,0)</f>
        <v>0</v>
      </c>
    </row>
    <row r="1000" spans="1:11" x14ac:dyDescent="0.2">
      <c r="A1000" s="9">
        <v>996</v>
      </c>
      <c r="B1000" s="5" t="s">
        <v>995</v>
      </c>
      <c r="C1000" s="6">
        <v>40803</v>
      </c>
      <c r="D1000" s="6">
        <v>40809</v>
      </c>
      <c r="E1000" s="6">
        <v>41449</v>
      </c>
      <c r="F1000" s="6">
        <v>41124</v>
      </c>
      <c r="G1000" s="6">
        <v>41105</v>
      </c>
      <c r="H1000" s="6">
        <v>41177</v>
      </c>
      <c r="I1000" s="1" t="str">
        <f t="shared" si="30"/>
        <v xml:space="preserve"> Illinois</v>
      </c>
      <c r="J1000" s="1" t="str">
        <f t="shared" si="31"/>
        <v>Romeoville village</v>
      </c>
      <c r="K1000" s="1">
        <f>IF(COUNTIF($I$5:I1000,I1000)=1,1,0)</f>
        <v>0</v>
      </c>
    </row>
    <row r="1001" spans="1:11" x14ac:dyDescent="0.2">
      <c r="A1001" s="9">
        <v>997</v>
      </c>
      <c r="B1001" s="5" t="s">
        <v>996</v>
      </c>
      <c r="C1001" s="6">
        <v>40523</v>
      </c>
      <c r="D1001" s="6">
        <v>40659</v>
      </c>
      <c r="E1001" s="6">
        <v>39806</v>
      </c>
      <c r="F1001" s="6">
        <v>39579</v>
      </c>
      <c r="G1001" s="6">
        <v>40155</v>
      </c>
      <c r="H1001" s="6">
        <v>41061</v>
      </c>
      <c r="I1001" s="1" t="str">
        <f t="shared" si="30"/>
        <v xml:space="preserve"> New Mexico</v>
      </c>
      <c r="J1001" s="1" t="str">
        <f t="shared" si="31"/>
        <v>Hobbs city</v>
      </c>
      <c r="K1001" s="1">
        <f>IF(COUNTIF($I$5:I1001,I1001)=1,1,0)</f>
        <v>0</v>
      </c>
    </row>
    <row r="1002" spans="1:11" x14ac:dyDescent="0.2">
      <c r="A1002" s="9">
        <v>998</v>
      </c>
      <c r="B1002" s="5" t="s">
        <v>997</v>
      </c>
      <c r="C1002" s="6">
        <v>38636</v>
      </c>
      <c r="D1002" s="6">
        <v>38901</v>
      </c>
      <c r="E1002" s="6">
        <v>39487</v>
      </c>
      <c r="F1002" s="6">
        <v>40228</v>
      </c>
      <c r="G1002" s="6">
        <v>40820</v>
      </c>
      <c r="H1002" s="6">
        <v>41027</v>
      </c>
      <c r="I1002" s="1" t="str">
        <f t="shared" si="30"/>
        <v xml:space="preserve"> North Dakota</v>
      </c>
      <c r="J1002" s="1" t="str">
        <f t="shared" si="31"/>
        <v>West Fargo city</v>
      </c>
      <c r="K1002" s="1">
        <f>IF(COUNTIF($I$5:I1002,I1002)=1,1,0)</f>
        <v>0</v>
      </c>
    </row>
    <row r="1003" spans="1:11" x14ac:dyDescent="0.2">
      <c r="A1003" s="9">
        <v>999</v>
      </c>
      <c r="B1003" s="5" t="s">
        <v>998</v>
      </c>
      <c r="C1003" s="6">
        <v>39264</v>
      </c>
      <c r="D1003" s="6">
        <v>27806</v>
      </c>
      <c r="E1003" s="6">
        <v>40260</v>
      </c>
      <c r="F1003" s="6">
        <v>40754</v>
      </c>
      <c r="G1003" s="6">
        <v>41049</v>
      </c>
      <c r="H1003" s="6">
        <v>40989</v>
      </c>
      <c r="I1003" s="1" t="str">
        <f t="shared" si="30"/>
        <v xml:space="preserve"> Massachusetts</v>
      </c>
      <c r="J1003" s="1" t="str">
        <f t="shared" si="31"/>
        <v>Amherst Town city</v>
      </c>
      <c r="K1003" s="1">
        <f>IF(COUNTIF($I$5:I1003,I1003)=1,1,0)</f>
        <v>0</v>
      </c>
    </row>
    <row r="1004" spans="1:11" x14ac:dyDescent="0.2">
      <c r="A1004" s="9">
        <v>1000</v>
      </c>
      <c r="B1004" s="5" t="s">
        <v>999</v>
      </c>
      <c r="C1004" s="6">
        <v>40109</v>
      </c>
      <c r="D1004" s="6">
        <v>40096</v>
      </c>
      <c r="E1004" s="6">
        <v>40119</v>
      </c>
      <c r="F1004" s="6">
        <v>40250</v>
      </c>
      <c r="G1004" s="6">
        <v>40675</v>
      </c>
      <c r="H1004" s="6">
        <v>40923</v>
      </c>
      <c r="I1004" s="1" t="str">
        <f t="shared" si="30"/>
        <v xml:space="preserve"> South Carolina</v>
      </c>
      <c r="J1004" s="1" t="str">
        <f t="shared" si="31"/>
        <v>Florence city</v>
      </c>
      <c r="K1004" s="1">
        <f>IF(COUNTIF($I$5:I1004,I1004)=1,1,0)</f>
        <v>0</v>
      </c>
    </row>
    <row r="1005" spans="1:11" x14ac:dyDescent="0.2">
      <c r="A1005" s="9">
        <v>1001</v>
      </c>
      <c r="B1005" s="5" t="s">
        <v>1000</v>
      </c>
      <c r="C1005" s="6">
        <v>35744</v>
      </c>
      <c r="D1005" s="6">
        <v>36036</v>
      </c>
      <c r="E1005" s="6">
        <v>37253</v>
      </c>
      <c r="F1005" s="6">
        <v>38624</v>
      </c>
      <c r="G1005" s="6">
        <v>39315</v>
      </c>
      <c r="H1005" s="6">
        <v>40919</v>
      </c>
      <c r="I1005" s="1" t="str">
        <f t="shared" si="30"/>
        <v xml:space="preserve"> Utah</v>
      </c>
      <c r="J1005" s="1" t="str">
        <f t="shared" si="31"/>
        <v>Tooele city</v>
      </c>
      <c r="K1005" s="1">
        <f>IF(COUNTIF($I$5:I1005,I1005)=1,1,0)</f>
        <v>0</v>
      </c>
    </row>
    <row r="1006" spans="1:11" x14ac:dyDescent="0.2">
      <c r="A1006" s="9">
        <v>1002</v>
      </c>
      <c r="B1006" s="5" t="s">
        <v>1001</v>
      </c>
      <c r="C1006" s="6">
        <v>35248</v>
      </c>
      <c r="D1006" s="6">
        <v>35473</v>
      </c>
      <c r="E1006" s="6">
        <v>37359</v>
      </c>
      <c r="F1006" s="6">
        <v>38802</v>
      </c>
      <c r="G1006" s="6">
        <v>40104</v>
      </c>
      <c r="H1006" s="6">
        <v>40885</v>
      </c>
      <c r="I1006" s="1" t="str">
        <f t="shared" si="30"/>
        <v xml:space="preserve"> Utah</v>
      </c>
      <c r="J1006" s="1" t="str">
        <f t="shared" si="31"/>
        <v>Cedar City city</v>
      </c>
      <c r="K1006" s="1">
        <f>IF(COUNTIF($I$5:I1006,I1006)=1,1,0)</f>
        <v>0</v>
      </c>
    </row>
    <row r="1007" spans="1:11" x14ac:dyDescent="0.2">
      <c r="A1007" s="9">
        <v>1003</v>
      </c>
      <c r="B1007" s="5" t="s">
        <v>1002</v>
      </c>
      <c r="C1007" s="6">
        <v>42004</v>
      </c>
      <c r="D1007" s="6">
        <v>41710</v>
      </c>
      <c r="E1007" s="6">
        <v>40332</v>
      </c>
      <c r="F1007" s="6">
        <v>39864</v>
      </c>
      <c r="G1007" s="6">
        <v>40236</v>
      </c>
      <c r="H1007" s="6">
        <v>40866</v>
      </c>
      <c r="I1007" s="1" t="str">
        <f t="shared" si="30"/>
        <v xml:space="preserve"> New Jersey</v>
      </c>
      <c r="J1007" s="1" t="str">
        <f t="shared" si="31"/>
        <v>Kearny town</v>
      </c>
      <c r="K1007" s="1">
        <f>IF(COUNTIF($I$5:I1007,I1007)=1,1,0)</f>
        <v>0</v>
      </c>
    </row>
    <row r="1008" spans="1:11" x14ac:dyDescent="0.2">
      <c r="A1008" s="9">
        <v>1004</v>
      </c>
      <c r="B1008" s="5" t="s">
        <v>1003</v>
      </c>
      <c r="C1008" s="6">
        <v>28730</v>
      </c>
      <c r="D1008" s="6">
        <v>29123</v>
      </c>
      <c r="E1008" s="6">
        <v>31346</v>
      </c>
      <c r="F1008" s="6">
        <v>35189</v>
      </c>
      <c r="G1008" s="6">
        <v>38721</v>
      </c>
      <c r="H1008" s="6">
        <v>40860</v>
      </c>
      <c r="I1008" s="1" t="str">
        <f t="shared" si="30"/>
        <v xml:space="preserve"> California</v>
      </c>
      <c r="J1008" s="1" t="str">
        <f t="shared" si="31"/>
        <v>Lathrop city</v>
      </c>
      <c r="K1008" s="1">
        <f>IF(COUNTIF($I$5:I1008,I1008)=1,1,0)</f>
        <v>0</v>
      </c>
    </row>
    <row r="1009" spans="1:11" x14ac:dyDescent="0.2">
      <c r="A1009" s="9">
        <v>1005</v>
      </c>
      <c r="B1009" s="5" t="s">
        <v>1004</v>
      </c>
      <c r="C1009" s="6">
        <v>39556</v>
      </c>
      <c r="D1009" s="6">
        <v>39786</v>
      </c>
      <c r="E1009" s="6">
        <v>40012</v>
      </c>
      <c r="F1009" s="6">
        <v>40427</v>
      </c>
      <c r="G1009" s="6">
        <v>40579</v>
      </c>
      <c r="H1009" s="6">
        <v>40818</v>
      </c>
      <c r="I1009" s="1" t="str">
        <f t="shared" si="30"/>
        <v xml:space="preserve"> Missouri</v>
      </c>
      <c r="J1009" s="1" t="str">
        <f t="shared" si="31"/>
        <v>Cape Girardeau city</v>
      </c>
      <c r="K1009" s="1">
        <f>IF(COUNTIF($I$5:I1009,I1009)=1,1,0)</f>
        <v>0</v>
      </c>
    </row>
    <row r="1010" spans="1:11" x14ac:dyDescent="0.2">
      <c r="A1010" s="9">
        <v>1006</v>
      </c>
      <c r="B1010" s="5" t="s">
        <v>1005</v>
      </c>
      <c r="C1010" s="6">
        <v>41281</v>
      </c>
      <c r="D1010" s="6">
        <v>41261</v>
      </c>
      <c r="E1010" s="6">
        <v>40722</v>
      </c>
      <c r="F1010" s="6">
        <v>40558</v>
      </c>
      <c r="G1010" s="6">
        <v>40686</v>
      </c>
      <c r="H1010" s="6">
        <v>40780</v>
      </c>
      <c r="I1010" s="1" t="str">
        <f t="shared" si="30"/>
        <v xml:space="preserve"> Texas</v>
      </c>
      <c r="J1010" s="1" t="str">
        <f t="shared" si="31"/>
        <v>Lancaster city</v>
      </c>
      <c r="K1010" s="1">
        <f>IF(COUNTIF($I$5:I1010,I1010)=1,1,0)</f>
        <v>0</v>
      </c>
    </row>
    <row r="1011" spans="1:11" x14ac:dyDescent="0.2">
      <c r="A1011" s="9">
        <v>1007</v>
      </c>
      <c r="B1011" s="5" t="s">
        <v>1006</v>
      </c>
      <c r="C1011" s="6">
        <v>38255</v>
      </c>
      <c r="D1011" s="6">
        <v>38369</v>
      </c>
      <c r="E1011" s="6">
        <v>38887</v>
      </c>
      <c r="F1011" s="6">
        <v>39595</v>
      </c>
      <c r="G1011" s="6">
        <v>40298</v>
      </c>
      <c r="H1011" s="6">
        <v>40758</v>
      </c>
      <c r="I1011" s="1" t="str">
        <f t="shared" si="30"/>
        <v xml:space="preserve"> Georgia</v>
      </c>
      <c r="J1011" s="1" t="str">
        <f t="shared" si="31"/>
        <v>Peachtree City city</v>
      </c>
      <c r="K1011" s="1">
        <f>IF(COUNTIF($I$5:I1011,I1011)=1,1,0)</f>
        <v>0</v>
      </c>
    </row>
    <row r="1012" spans="1:11" x14ac:dyDescent="0.2">
      <c r="A1012" s="9">
        <v>1008</v>
      </c>
      <c r="B1012" s="5" t="s">
        <v>1007</v>
      </c>
      <c r="C1012" s="6">
        <v>41126</v>
      </c>
      <c r="D1012" s="6">
        <v>41023</v>
      </c>
      <c r="E1012" s="6">
        <v>40556</v>
      </c>
      <c r="F1012" s="6">
        <v>40263</v>
      </c>
      <c r="G1012" s="6">
        <v>40298</v>
      </c>
      <c r="H1012" s="6">
        <v>40718</v>
      </c>
      <c r="I1012" s="1" t="str">
        <f t="shared" si="30"/>
        <v xml:space="preserve"> Illinois</v>
      </c>
      <c r="J1012" s="1" t="str">
        <f t="shared" si="31"/>
        <v>Bartlett village</v>
      </c>
      <c r="K1012" s="1">
        <f>IF(COUNTIF($I$5:I1012,I1012)=1,1,0)</f>
        <v>0</v>
      </c>
    </row>
    <row r="1013" spans="1:11" x14ac:dyDescent="0.2">
      <c r="A1013" s="9">
        <v>1009</v>
      </c>
      <c r="B1013" s="5" t="s">
        <v>1008</v>
      </c>
      <c r="C1013" s="6">
        <v>38522</v>
      </c>
      <c r="D1013" s="6">
        <v>38625</v>
      </c>
      <c r="E1013" s="6">
        <v>38893</v>
      </c>
      <c r="F1013" s="6">
        <v>39436</v>
      </c>
      <c r="G1013" s="6">
        <v>40053</v>
      </c>
      <c r="H1013" s="6">
        <v>40700</v>
      </c>
      <c r="I1013" s="1" t="str">
        <f t="shared" si="30"/>
        <v xml:space="preserve"> Wisconsin</v>
      </c>
      <c r="J1013" s="1" t="str">
        <f t="shared" si="31"/>
        <v>Menomonee Falls village</v>
      </c>
      <c r="K1013" s="1">
        <f>IF(COUNTIF($I$5:I1013,I1013)=1,1,0)</f>
        <v>0</v>
      </c>
    </row>
    <row r="1014" spans="1:11" x14ac:dyDescent="0.2">
      <c r="A1014" s="9">
        <v>1010</v>
      </c>
      <c r="B1014" s="5" t="s">
        <v>1009</v>
      </c>
      <c r="C1014" s="6">
        <v>39790</v>
      </c>
      <c r="D1014" s="6">
        <v>39764</v>
      </c>
      <c r="E1014" s="6">
        <v>40394</v>
      </c>
      <c r="F1014" s="6">
        <v>41109</v>
      </c>
      <c r="G1014" s="6">
        <v>40707</v>
      </c>
      <c r="H1014" s="6">
        <v>40695</v>
      </c>
      <c r="I1014" s="1" t="str">
        <f t="shared" si="30"/>
        <v xml:space="preserve"> Idaho</v>
      </c>
      <c r="J1014" s="1" t="str">
        <f t="shared" si="31"/>
        <v>Rexburg city</v>
      </c>
      <c r="K1014" s="1">
        <f>IF(COUNTIF($I$5:I1014,I1014)=1,1,0)</f>
        <v>0</v>
      </c>
    </row>
    <row r="1015" spans="1:11" x14ac:dyDescent="0.2">
      <c r="A1015" s="9">
        <v>1011</v>
      </c>
      <c r="B1015" s="5" t="s">
        <v>1010</v>
      </c>
      <c r="C1015" s="6">
        <v>40799</v>
      </c>
      <c r="D1015" s="6">
        <v>40857</v>
      </c>
      <c r="E1015" s="6">
        <v>40806</v>
      </c>
      <c r="F1015" s="6">
        <v>40707</v>
      </c>
      <c r="G1015" s="6">
        <v>40633</v>
      </c>
      <c r="H1015" s="6">
        <v>40689</v>
      </c>
      <c r="I1015" s="1" t="str">
        <f t="shared" si="30"/>
        <v xml:space="preserve"> Maryland</v>
      </c>
      <c r="J1015" s="1" t="str">
        <f t="shared" si="31"/>
        <v>Annapolis city</v>
      </c>
      <c r="K1015" s="1">
        <f>IF(COUNTIF($I$5:I1015,I1015)=1,1,0)</f>
        <v>0</v>
      </c>
    </row>
    <row r="1016" spans="1:11" x14ac:dyDescent="0.2">
      <c r="A1016" s="9">
        <v>1012</v>
      </c>
      <c r="B1016" s="5" t="s">
        <v>1011</v>
      </c>
      <c r="C1016" s="6">
        <v>40172</v>
      </c>
      <c r="D1016" s="6">
        <v>40052</v>
      </c>
      <c r="E1016" s="6">
        <v>39911</v>
      </c>
      <c r="F1016" s="6">
        <v>39829</v>
      </c>
      <c r="G1016" s="6">
        <v>40065</v>
      </c>
      <c r="H1016" s="6">
        <v>40566</v>
      </c>
      <c r="I1016" s="1" t="str">
        <f t="shared" si="30"/>
        <v xml:space="preserve"> New Jersey</v>
      </c>
      <c r="J1016" s="1" t="str">
        <f t="shared" si="31"/>
        <v>Fort Lee borough</v>
      </c>
      <c r="K1016" s="1">
        <f>IF(COUNTIF($I$5:I1016,I1016)=1,1,0)</f>
        <v>0</v>
      </c>
    </row>
    <row r="1017" spans="1:11" x14ac:dyDescent="0.2">
      <c r="A1017" s="9">
        <v>1013</v>
      </c>
      <c r="B1017" s="5" t="s">
        <v>1012</v>
      </c>
      <c r="C1017" s="6">
        <v>42386</v>
      </c>
      <c r="D1017" s="6">
        <v>42278</v>
      </c>
      <c r="E1017" s="6">
        <v>41844</v>
      </c>
      <c r="F1017" s="6">
        <v>41315</v>
      </c>
      <c r="G1017" s="6">
        <v>40876</v>
      </c>
      <c r="H1017" s="6">
        <v>40560</v>
      </c>
      <c r="I1017" s="1" t="str">
        <f t="shared" si="30"/>
        <v xml:space="preserve"> Illinois</v>
      </c>
      <c r="J1017" s="1" t="str">
        <f t="shared" si="31"/>
        <v>Belleville city</v>
      </c>
      <c r="K1017" s="1">
        <f>IF(COUNTIF($I$5:I1017,I1017)=1,1,0)</f>
        <v>0</v>
      </c>
    </row>
    <row r="1018" spans="1:11" x14ac:dyDescent="0.2">
      <c r="A1018" s="9">
        <v>1014</v>
      </c>
      <c r="B1018" s="5" t="s">
        <v>1013</v>
      </c>
      <c r="C1018" s="6">
        <v>34652</v>
      </c>
      <c r="D1018" s="6">
        <v>34781</v>
      </c>
      <c r="E1018" s="6">
        <v>35231</v>
      </c>
      <c r="F1018" s="6">
        <v>37962</v>
      </c>
      <c r="G1018" s="6">
        <v>39062</v>
      </c>
      <c r="H1018" s="6">
        <v>40540</v>
      </c>
      <c r="I1018" s="1" t="str">
        <f t="shared" si="30"/>
        <v xml:space="preserve"> Georgia</v>
      </c>
      <c r="J1018" s="1" t="str">
        <f t="shared" si="31"/>
        <v>Douglasville city</v>
      </c>
      <c r="K1018" s="1">
        <f>IF(COUNTIF($I$5:I1018,I1018)=1,1,0)</f>
        <v>0</v>
      </c>
    </row>
    <row r="1019" spans="1:11" x14ac:dyDescent="0.2">
      <c r="A1019" s="9">
        <v>1015</v>
      </c>
      <c r="B1019" s="5" t="s">
        <v>1014</v>
      </c>
      <c r="C1019" s="6">
        <v>35696</v>
      </c>
      <c r="D1019" s="6">
        <v>35973</v>
      </c>
      <c r="E1019" s="6">
        <v>37007</v>
      </c>
      <c r="F1019" s="6">
        <v>38457</v>
      </c>
      <c r="G1019" s="6">
        <v>39779</v>
      </c>
      <c r="H1019" s="6">
        <v>40535</v>
      </c>
      <c r="I1019" s="1" t="str">
        <f t="shared" si="30"/>
        <v xml:space="preserve"> South Carolina</v>
      </c>
      <c r="J1019" s="1" t="str">
        <f t="shared" si="31"/>
        <v>Myrtle Beach city</v>
      </c>
      <c r="K1019" s="1">
        <f>IF(COUNTIF($I$5:I1019,I1019)=1,1,0)</f>
        <v>0</v>
      </c>
    </row>
    <row r="1020" spans="1:11" x14ac:dyDescent="0.2">
      <c r="A1020" s="9">
        <v>1016</v>
      </c>
      <c r="B1020" s="5" t="s">
        <v>1015</v>
      </c>
      <c r="C1020" s="6">
        <v>40234</v>
      </c>
      <c r="D1020" s="6">
        <v>40043</v>
      </c>
      <c r="E1020" s="6">
        <v>39321</v>
      </c>
      <c r="F1020" s="6">
        <v>39515</v>
      </c>
      <c r="G1020" s="6">
        <v>40021</v>
      </c>
      <c r="H1020" s="6">
        <v>40531</v>
      </c>
      <c r="I1020" s="1" t="str">
        <f t="shared" si="30"/>
        <v xml:space="preserve"> Florida</v>
      </c>
      <c r="J1020" s="1" t="str">
        <f t="shared" si="31"/>
        <v>Aventura city</v>
      </c>
      <c r="K1020" s="1">
        <f>IF(COUNTIF($I$5:I1020,I1020)=1,1,0)</f>
        <v>0</v>
      </c>
    </row>
    <row r="1021" spans="1:11" x14ac:dyDescent="0.2">
      <c r="A1021" s="9">
        <v>1017</v>
      </c>
      <c r="B1021" s="5" t="s">
        <v>1016</v>
      </c>
      <c r="C1021" s="6">
        <v>37551</v>
      </c>
      <c r="D1021" s="6">
        <v>37789</v>
      </c>
      <c r="E1021" s="6">
        <v>38389</v>
      </c>
      <c r="F1021" s="6">
        <v>39070</v>
      </c>
      <c r="G1021" s="6">
        <v>39827</v>
      </c>
      <c r="H1021" s="6">
        <v>40518</v>
      </c>
      <c r="I1021" s="1" t="str">
        <f t="shared" si="30"/>
        <v xml:space="preserve"> Kentucky</v>
      </c>
      <c r="J1021" s="1" t="str">
        <f t="shared" si="31"/>
        <v>Georgetown city</v>
      </c>
      <c r="K1021" s="1">
        <f>IF(COUNTIF($I$5:I1021,I1021)=1,1,0)</f>
        <v>0</v>
      </c>
    </row>
    <row r="1022" spans="1:11" x14ac:dyDescent="0.2">
      <c r="A1022" s="9">
        <v>1018</v>
      </c>
      <c r="B1022" s="5" t="s">
        <v>1017</v>
      </c>
      <c r="C1022" s="6">
        <v>40304</v>
      </c>
      <c r="D1022" s="6">
        <v>40224</v>
      </c>
      <c r="E1022" s="6">
        <v>40296</v>
      </c>
      <c r="F1022" s="6">
        <v>40314</v>
      </c>
      <c r="G1022" s="6">
        <v>40317</v>
      </c>
      <c r="H1022" s="6">
        <v>40491</v>
      </c>
      <c r="I1022" s="1" t="str">
        <f t="shared" si="30"/>
        <v xml:space="preserve"> Illinois</v>
      </c>
      <c r="J1022" s="1" t="str">
        <f t="shared" si="31"/>
        <v>DeKalb city</v>
      </c>
      <c r="K1022" s="1">
        <f>IF(COUNTIF($I$5:I1022,I1022)=1,1,0)</f>
        <v>0</v>
      </c>
    </row>
    <row r="1023" spans="1:11" x14ac:dyDescent="0.2">
      <c r="A1023" s="9">
        <v>1019</v>
      </c>
      <c r="B1023" s="5" t="s">
        <v>1018</v>
      </c>
      <c r="C1023" s="6">
        <v>40824</v>
      </c>
      <c r="D1023" s="6">
        <v>40169</v>
      </c>
      <c r="E1023" s="6">
        <v>40561</v>
      </c>
      <c r="F1023" s="6">
        <v>40439</v>
      </c>
      <c r="G1023" s="6">
        <v>40283</v>
      </c>
      <c r="H1023" s="6">
        <v>40403</v>
      </c>
      <c r="I1023" s="1" t="str">
        <f t="shared" si="30"/>
        <v xml:space="preserve"> Massachusetts</v>
      </c>
      <c r="J1023" s="1" t="str">
        <f t="shared" si="31"/>
        <v>Westfield city</v>
      </c>
      <c r="K1023" s="1">
        <f>IF(COUNTIF($I$5:I1023,I1023)=1,1,0)</f>
        <v>0</v>
      </c>
    </row>
    <row r="1024" spans="1:11" x14ac:dyDescent="0.2">
      <c r="A1024" s="9">
        <v>1020</v>
      </c>
      <c r="B1024" s="5" t="s">
        <v>1019</v>
      </c>
      <c r="C1024" s="6">
        <v>40297</v>
      </c>
      <c r="D1024" s="6">
        <v>40277</v>
      </c>
      <c r="E1024" s="6">
        <v>40241</v>
      </c>
      <c r="F1024" s="6">
        <v>40266</v>
      </c>
      <c r="G1024" s="6">
        <v>40297</v>
      </c>
      <c r="H1024" s="6">
        <v>40343</v>
      </c>
      <c r="I1024" s="1" t="str">
        <f t="shared" si="30"/>
        <v xml:space="preserve"> Ohio</v>
      </c>
      <c r="J1024" s="1" t="str">
        <f t="shared" si="31"/>
        <v>Findlay city</v>
      </c>
      <c r="K1024" s="1">
        <f>IF(COUNTIF($I$5:I1024,I1024)=1,1,0)</f>
        <v>0</v>
      </c>
    </row>
    <row r="1025" spans="1:11" x14ac:dyDescent="0.2">
      <c r="A1025" s="9">
        <v>1021</v>
      </c>
      <c r="B1025" s="5" t="s">
        <v>1020</v>
      </c>
      <c r="C1025" s="6">
        <v>40449</v>
      </c>
      <c r="D1025" s="6">
        <v>40454</v>
      </c>
      <c r="E1025" s="6">
        <v>40329</v>
      </c>
      <c r="F1025" s="6">
        <v>40135</v>
      </c>
      <c r="G1025" s="6">
        <v>40207</v>
      </c>
      <c r="H1025" s="6">
        <v>40302</v>
      </c>
      <c r="I1025" s="1" t="str">
        <f t="shared" si="30"/>
        <v xml:space="preserve"> Wisconsin</v>
      </c>
      <c r="J1025" s="1" t="str">
        <f t="shared" si="31"/>
        <v>New Berlin city</v>
      </c>
      <c r="K1025" s="1">
        <f>IF(COUNTIF($I$5:I1025,I1025)=1,1,0)</f>
        <v>0</v>
      </c>
    </row>
    <row r="1026" spans="1:11" x14ac:dyDescent="0.2">
      <c r="A1026" s="9">
        <v>1022</v>
      </c>
      <c r="B1026" s="5" t="s">
        <v>1021</v>
      </c>
      <c r="C1026" s="6">
        <v>39101</v>
      </c>
      <c r="D1026" s="6">
        <v>39130</v>
      </c>
      <c r="E1026" s="6">
        <v>39333</v>
      </c>
      <c r="F1026" s="6">
        <v>39584</v>
      </c>
      <c r="G1026" s="6">
        <v>39941</v>
      </c>
      <c r="H1026" s="6">
        <v>40281</v>
      </c>
      <c r="I1026" s="1" t="str">
        <f t="shared" si="30"/>
        <v xml:space="preserve"> Iowa</v>
      </c>
      <c r="J1026" s="1" t="str">
        <f t="shared" si="31"/>
        <v>Bettendorf city</v>
      </c>
      <c r="K1026" s="1">
        <f>IF(COUNTIF($I$5:I1026,I1026)=1,1,0)</f>
        <v>0</v>
      </c>
    </row>
    <row r="1027" spans="1:11" x14ac:dyDescent="0.2">
      <c r="A1027" s="9">
        <v>1023</v>
      </c>
      <c r="B1027" s="5" t="s">
        <v>1022</v>
      </c>
      <c r="C1027" s="6">
        <v>40034</v>
      </c>
      <c r="D1027" s="6">
        <v>40042</v>
      </c>
      <c r="E1027" s="6">
        <v>39769</v>
      </c>
      <c r="F1027" s="6">
        <v>39868</v>
      </c>
      <c r="G1027" s="6">
        <v>40148</v>
      </c>
      <c r="H1027" s="6">
        <v>40262</v>
      </c>
      <c r="I1027" s="1" t="str">
        <f t="shared" si="30"/>
        <v xml:space="preserve"> Wisconsin</v>
      </c>
      <c r="J1027" s="1" t="str">
        <f t="shared" si="31"/>
        <v>Wausau city</v>
      </c>
      <c r="K1027" s="1">
        <f>IF(COUNTIF($I$5:I1027,I1027)=1,1,0)</f>
        <v>0</v>
      </c>
    </row>
    <row r="1028" spans="1:11" x14ac:dyDescent="0.2">
      <c r="A1028" s="9">
        <v>1024</v>
      </c>
      <c r="B1028" s="5" t="s">
        <v>1023</v>
      </c>
      <c r="C1028" s="6">
        <v>40746</v>
      </c>
      <c r="D1028" s="6">
        <v>40549</v>
      </c>
      <c r="E1028" s="6">
        <v>39596</v>
      </c>
      <c r="F1028" s="6">
        <v>39577</v>
      </c>
      <c r="G1028" s="6">
        <v>39526</v>
      </c>
      <c r="H1028" s="6">
        <v>40245</v>
      </c>
      <c r="I1028" s="1" t="str">
        <f t="shared" si="30"/>
        <v xml:space="preserve"> Massachusetts</v>
      </c>
      <c r="J1028" s="1" t="str">
        <f t="shared" si="31"/>
        <v>Chelsea city</v>
      </c>
      <c r="K1028" s="1">
        <f>IF(COUNTIF($I$5:I1028,I1028)=1,1,0)</f>
        <v>0</v>
      </c>
    </row>
    <row r="1029" spans="1:11" x14ac:dyDescent="0.2">
      <c r="A1029" s="9">
        <v>1025</v>
      </c>
      <c r="B1029" s="5" t="s">
        <v>1024</v>
      </c>
      <c r="C1029" s="6">
        <v>40637</v>
      </c>
      <c r="D1029" s="6">
        <v>40500</v>
      </c>
      <c r="E1029" s="6">
        <v>40409</v>
      </c>
      <c r="F1029" s="6">
        <v>40220</v>
      </c>
      <c r="G1029" s="6">
        <v>40136</v>
      </c>
      <c r="H1029" s="6">
        <v>40232</v>
      </c>
      <c r="I1029" s="1" t="str">
        <f t="shared" si="30"/>
        <v xml:space="preserve"> New York</v>
      </c>
      <c r="J1029" s="1" t="str">
        <f t="shared" si="31"/>
        <v>Valley Stream village</v>
      </c>
      <c r="K1029" s="1">
        <f>IF(COUNTIF($I$5:I1029,I1029)=1,1,0)</f>
        <v>0</v>
      </c>
    </row>
    <row r="1030" spans="1:11" x14ac:dyDescent="0.2">
      <c r="A1030" s="9">
        <v>1026</v>
      </c>
      <c r="B1030" s="5" t="s">
        <v>1025</v>
      </c>
      <c r="C1030" s="6">
        <v>39498</v>
      </c>
      <c r="D1030" s="6">
        <v>39407</v>
      </c>
      <c r="E1030" s="6">
        <v>39694</v>
      </c>
      <c r="F1030" s="6">
        <v>39896</v>
      </c>
      <c r="G1030" s="6">
        <v>40049</v>
      </c>
      <c r="H1030" s="6">
        <v>40191</v>
      </c>
      <c r="I1030" s="1" t="str">
        <f t="shared" ref="I1030:I1093" si="32">_xlfn.TEXTAFTER(B1030,",")</f>
        <v xml:space="preserve"> Delaware</v>
      </c>
      <c r="J1030" s="1" t="str">
        <f t="shared" ref="J1030:J1093" si="33">_xlfn.TEXTBEFORE(B1030,", ")</f>
        <v>Dover city</v>
      </c>
      <c r="K1030" s="1">
        <f>IF(COUNTIF($I$5:I1030,I1030)=1,1,0)</f>
        <v>0</v>
      </c>
    </row>
    <row r="1031" spans="1:11" x14ac:dyDescent="0.2">
      <c r="A1031" s="9">
        <v>1027</v>
      </c>
      <c r="B1031" s="5" t="s">
        <v>1026</v>
      </c>
      <c r="C1031" s="6">
        <v>42086</v>
      </c>
      <c r="D1031" s="6">
        <v>42026</v>
      </c>
      <c r="E1031" s="6">
        <v>40994</v>
      </c>
      <c r="F1031" s="6">
        <v>40080</v>
      </c>
      <c r="G1031" s="6">
        <v>40147</v>
      </c>
      <c r="H1031" s="6">
        <v>40142</v>
      </c>
      <c r="I1031" s="1" t="str">
        <f t="shared" si="32"/>
        <v xml:space="preserve"> Minnesota</v>
      </c>
      <c r="J1031" s="1" t="str">
        <f t="shared" si="33"/>
        <v>Maplewood city</v>
      </c>
      <c r="K1031" s="1">
        <f>IF(COUNTIF($I$5:I1031,I1031)=1,1,0)</f>
        <v>0</v>
      </c>
    </row>
    <row r="1032" spans="1:11" x14ac:dyDescent="0.2">
      <c r="A1032" s="9">
        <v>1028</v>
      </c>
      <c r="B1032" s="5" t="s">
        <v>1027</v>
      </c>
      <c r="C1032" s="6">
        <v>37731</v>
      </c>
      <c r="D1032" s="6">
        <v>37839</v>
      </c>
      <c r="E1032" s="6">
        <v>38265</v>
      </c>
      <c r="F1032" s="6">
        <v>38728</v>
      </c>
      <c r="G1032" s="6">
        <v>39336</v>
      </c>
      <c r="H1032" s="6">
        <v>40139</v>
      </c>
      <c r="I1032" s="1" t="str">
        <f t="shared" si="32"/>
        <v xml:space="preserve"> Alabama</v>
      </c>
      <c r="J1032" s="1" t="str">
        <f t="shared" si="33"/>
        <v>Prattville city</v>
      </c>
      <c r="K1032" s="1">
        <f>IF(COUNTIF($I$5:I1032,I1032)=1,1,0)</f>
        <v>0</v>
      </c>
    </row>
    <row r="1033" spans="1:11" x14ac:dyDescent="0.2">
      <c r="A1033" s="9">
        <v>1029</v>
      </c>
      <c r="B1033" s="5" t="s">
        <v>1028</v>
      </c>
      <c r="C1033" s="6">
        <v>41335</v>
      </c>
      <c r="D1033" s="6">
        <v>41263</v>
      </c>
      <c r="E1033" s="6">
        <v>40924</v>
      </c>
      <c r="F1033" s="6">
        <v>40653</v>
      </c>
      <c r="G1033" s="6">
        <v>40438</v>
      </c>
      <c r="H1033" s="6">
        <v>40128</v>
      </c>
      <c r="I1033" s="1" t="str">
        <f t="shared" si="32"/>
        <v xml:space="preserve"> Tennessee</v>
      </c>
      <c r="J1033" s="1" t="str">
        <f t="shared" si="33"/>
        <v>Germantown city</v>
      </c>
      <c r="K1033" s="1">
        <f>IF(COUNTIF($I$5:I1033,I1033)=1,1,0)</f>
        <v>0</v>
      </c>
    </row>
    <row r="1034" spans="1:11" x14ac:dyDescent="0.2">
      <c r="A1034" s="9">
        <v>1030</v>
      </c>
      <c r="B1034" s="5" t="s">
        <v>1029</v>
      </c>
      <c r="C1034" s="6">
        <v>35467</v>
      </c>
      <c r="D1034" s="6">
        <v>35771</v>
      </c>
      <c r="E1034" s="6">
        <v>36295</v>
      </c>
      <c r="F1034" s="6">
        <v>36056</v>
      </c>
      <c r="G1034" s="6">
        <v>38530</v>
      </c>
      <c r="H1034" s="6">
        <v>40064</v>
      </c>
      <c r="I1034" s="1" t="str">
        <f t="shared" si="32"/>
        <v xml:space="preserve"> Arizona</v>
      </c>
      <c r="J1034" s="1" t="str">
        <f t="shared" si="33"/>
        <v>San Luis city</v>
      </c>
      <c r="K1034" s="1">
        <f>IF(COUNTIF($I$5:I1034,I1034)=1,1,0)</f>
        <v>0</v>
      </c>
    </row>
    <row r="1035" spans="1:11" x14ac:dyDescent="0.2">
      <c r="A1035" s="9">
        <v>1030</v>
      </c>
      <c r="B1035" s="5" t="s">
        <v>1030</v>
      </c>
      <c r="C1035" s="6">
        <v>42279</v>
      </c>
      <c r="D1035" s="6">
        <v>42133</v>
      </c>
      <c r="E1035" s="6">
        <v>41246</v>
      </c>
      <c r="F1035" s="6">
        <v>40650</v>
      </c>
      <c r="G1035" s="6">
        <v>40260</v>
      </c>
      <c r="H1035" s="6">
        <v>40064</v>
      </c>
      <c r="I1035" s="1" t="str">
        <f t="shared" si="32"/>
        <v xml:space="preserve"> California</v>
      </c>
      <c r="J1035" s="1" t="str">
        <f t="shared" si="33"/>
        <v>Rancho Palos Verdes city</v>
      </c>
      <c r="K1035" s="1">
        <f>IF(COUNTIF($I$5:I1035,I1035)=1,1,0)</f>
        <v>0</v>
      </c>
    </row>
    <row r="1036" spans="1:11" x14ac:dyDescent="0.2">
      <c r="A1036" s="9">
        <v>1032</v>
      </c>
      <c r="B1036" s="5" t="s">
        <v>1031</v>
      </c>
      <c r="C1036" s="6">
        <v>34626</v>
      </c>
      <c r="D1036" s="6">
        <v>34685</v>
      </c>
      <c r="E1036" s="6">
        <v>35059</v>
      </c>
      <c r="F1036" s="6">
        <v>36078</v>
      </c>
      <c r="G1036" s="6">
        <v>37950</v>
      </c>
      <c r="H1036" s="6">
        <v>40054</v>
      </c>
      <c r="I1036" s="1" t="str">
        <f t="shared" si="32"/>
        <v xml:space="preserve"> North Carolina</v>
      </c>
      <c r="J1036" s="1" t="str">
        <f t="shared" si="33"/>
        <v>Monroe city</v>
      </c>
      <c r="K1036" s="1">
        <f>IF(COUNTIF($I$5:I1036,I1036)=1,1,0)</f>
        <v>0</v>
      </c>
    </row>
    <row r="1037" spans="1:11" x14ac:dyDescent="0.2">
      <c r="A1037" s="9">
        <v>1033</v>
      </c>
      <c r="B1037" s="5" t="s">
        <v>1032</v>
      </c>
      <c r="C1037" s="6">
        <v>40845</v>
      </c>
      <c r="D1037" s="6">
        <v>40889</v>
      </c>
      <c r="E1037" s="6">
        <v>40629</v>
      </c>
      <c r="F1037" s="6">
        <v>40226</v>
      </c>
      <c r="G1037" s="6">
        <v>40117</v>
      </c>
      <c r="H1037" s="6">
        <v>40029</v>
      </c>
      <c r="I1037" s="1" t="str">
        <f t="shared" si="32"/>
        <v xml:space="preserve"> Oregon</v>
      </c>
      <c r="J1037" s="1" t="str">
        <f t="shared" si="33"/>
        <v>Lake Oswego city</v>
      </c>
      <c r="K1037" s="1">
        <f>IF(COUNTIF($I$5:I1037,I1037)=1,1,0)</f>
        <v>0</v>
      </c>
    </row>
    <row r="1038" spans="1:11" x14ac:dyDescent="0.2">
      <c r="A1038" s="9">
        <v>1034</v>
      </c>
      <c r="B1038" s="5" t="s">
        <v>1033</v>
      </c>
      <c r="C1038" s="6">
        <v>40126</v>
      </c>
      <c r="D1038" s="6">
        <v>40018</v>
      </c>
      <c r="E1038" s="6">
        <v>40045</v>
      </c>
      <c r="F1038" s="6">
        <v>39864</v>
      </c>
      <c r="G1038" s="6">
        <v>39908</v>
      </c>
      <c r="H1038" s="6">
        <v>39993</v>
      </c>
      <c r="I1038" s="1" t="str">
        <f t="shared" si="32"/>
        <v xml:space="preserve"> Connecticut</v>
      </c>
      <c r="J1038" s="1" t="str">
        <f t="shared" si="33"/>
        <v>Norwich city</v>
      </c>
      <c r="K1038" s="1">
        <f>IF(COUNTIF($I$5:I1038,I1038)=1,1,0)</f>
        <v>0</v>
      </c>
    </row>
    <row r="1039" spans="1:11" x14ac:dyDescent="0.2">
      <c r="A1039" s="9">
        <v>1035</v>
      </c>
      <c r="B1039" s="5" t="s">
        <v>1034</v>
      </c>
      <c r="C1039" s="6">
        <v>37647</v>
      </c>
      <c r="D1039" s="6">
        <v>37741</v>
      </c>
      <c r="E1039" s="6">
        <v>38198</v>
      </c>
      <c r="F1039" s="6">
        <v>38547</v>
      </c>
      <c r="G1039" s="6">
        <v>39181</v>
      </c>
      <c r="H1039" s="6">
        <v>39907</v>
      </c>
      <c r="I1039" s="1" t="str">
        <f t="shared" si="32"/>
        <v xml:space="preserve"> California</v>
      </c>
      <c r="J1039" s="1" t="str">
        <f t="shared" si="33"/>
        <v>La Quinta city</v>
      </c>
      <c r="K1039" s="1">
        <f>IF(COUNTIF($I$5:I1039,I1039)=1,1,0)</f>
        <v>0</v>
      </c>
    </row>
    <row r="1040" spans="1:11" x14ac:dyDescent="0.2">
      <c r="A1040" s="9">
        <v>1036</v>
      </c>
      <c r="B1040" s="5" t="s">
        <v>1035</v>
      </c>
      <c r="C1040" s="6">
        <v>40820</v>
      </c>
      <c r="D1040" s="6">
        <v>40720</v>
      </c>
      <c r="E1040" s="6">
        <v>39990</v>
      </c>
      <c r="F1040" s="6">
        <v>39607</v>
      </c>
      <c r="G1040" s="6">
        <v>39542</v>
      </c>
      <c r="H1040" s="6">
        <v>39883</v>
      </c>
      <c r="I1040" s="1" t="str">
        <f t="shared" si="32"/>
        <v xml:space="preserve"> California</v>
      </c>
      <c r="J1040" s="1" t="str">
        <f t="shared" si="33"/>
        <v>Culver City city</v>
      </c>
      <c r="K1040" s="1">
        <f>IF(COUNTIF($I$5:I1040,I1040)=1,1,0)</f>
        <v>0</v>
      </c>
    </row>
    <row r="1041" spans="1:11" x14ac:dyDescent="0.2">
      <c r="A1041" s="9">
        <v>1037</v>
      </c>
      <c r="B1041" s="5" t="s">
        <v>1036</v>
      </c>
      <c r="C1041" s="6">
        <v>38988</v>
      </c>
      <c r="D1041" s="6">
        <v>38867</v>
      </c>
      <c r="E1041" s="6">
        <v>39300</v>
      </c>
      <c r="F1041" s="6">
        <v>39266</v>
      </c>
      <c r="G1041" s="6">
        <v>39455</v>
      </c>
      <c r="H1041" s="6">
        <v>39831</v>
      </c>
      <c r="I1041" s="1" t="str">
        <f t="shared" si="32"/>
        <v xml:space="preserve"> Illinois</v>
      </c>
      <c r="J1041" s="1" t="str">
        <f t="shared" si="33"/>
        <v>Urbana city</v>
      </c>
      <c r="K1041" s="1">
        <f>IF(COUNTIF($I$5:I1041,I1041)=1,1,0)</f>
        <v>0</v>
      </c>
    </row>
    <row r="1042" spans="1:11" x14ac:dyDescent="0.2">
      <c r="A1042" s="9">
        <v>1038</v>
      </c>
      <c r="B1042" s="5" t="s">
        <v>1037</v>
      </c>
      <c r="C1042" s="6">
        <v>38357</v>
      </c>
      <c r="D1042" s="6">
        <v>38382</v>
      </c>
      <c r="E1042" s="6">
        <v>38256</v>
      </c>
      <c r="F1042" s="6">
        <v>38923</v>
      </c>
      <c r="G1042" s="6">
        <v>39372</v>
      </c>
      <c r="H1042" s="6">
        <v>39822</v>
      </c>
      <c r="I1042" s="1" t="str">
        <f t="shared" si="32"/>
        <v xml:space="preserve"> Florida</v>
      </c>
      <c r="J1042" s="1" t="str">
        <f t="shared" si="33"/>
        <v>Winter Springs city</v>
      </c>
      <c r="K1042" s="1">
        <f>IF(COUNTIF($I$5:I1042,I1042)=1,1,0)</f>
        <v>0</v>
      </c>
    </row>
    <row r="1043" spans="1:11" x14ac:dyDescent="0.2">
      <c r="A1043" s="9">
        <v>1039</v>
      </c>
      <c r="B1043" s="5" t="s">
        <v>1038</v>
      </c>
      <c r="C1043" s="6">
        <v>34673</v>
      </c>
      <c r="D1043" s="6">
        <v>34911</v>
      </c>
      <c r="E1043" s="6">
        <v>35341</v>
      </c>
      <c r="F1043" s="6">
        <v>37235</v>
      </c>
      <c r="G1043" s="6">
        <v>38677</v>
      </c>
      <c r="H1043" s="6">
        <v>39700</v>
      </c>
      <c r="I1043" s="1" t="str">
        <f t="shared" si="32"/>
        <v xml:space="preserve"> Florida</v>
      </c>
      <c r="J1043" s="1" t="str">
        <f t="shared" si="33"/>
        <v>Parkland city</v>
      </c>
      <c r="K1043" s="1">
        <f>IF(COUNTIF($I$5:I1043,I1043)=1,1,0)</f>
        <v>0</v>
      </c>
    </row>
    <row r="1044" spans="1:11" x14ac:dyDescent="0.2">
      <c r="A1044" s="9">
        <v>1040</v>
      </c>
      <c r="B1044" s="5" t="s">
        <v>1039</v>
      </c>
      <c r="C1044" s="6">
        <v>40073</v>
      </c>
      <c r="D1044" s="6">
        <v>40103</v>
      </c>
      <c r="E1044" s="6">
        <v>39552</v>
      </c>
      <c r="F1044" s="6">
        <v>39344</v>
      </c>
      <c r="G1044" s="6">
        <v>39338</v>
      </c>
      <c r="H1044" s="6">
        <v>39664</v>
      </c>
      <c r="I1044" s="1" t="str">
        <f t="shared" si="32"/>
        <v xml:space="preserve"> Washington</v>
      </c>
      <c r="J1044" s="1" t="str">
        <f t="shared" si="33"/>
        <v>Issaquah city</v>
      </c>
      <c r="K1044" s="1">
        <f>IF(COUNTIF($I$5:I1044,I1044)=1,1,0)</f>
        <v>0</v>
      </c>
    </row>
    <row r="1045" spans="1:11" x14ac:dyDescent="0.2">
      <c r="A1045" s="9">
        <v>1041</v>
      </c>
      <c r="B1045" s="5" t="s">
        <v>1040</v>
      </c>
      <c r="C1045" s="6">
        <v>36668</v>
      </c>
      <c r="D1045" s="6">
        <v>36732</v>
      </c>
      <c r="E1045" s="6">
        <v>37476</v>
      </c>
      <c r="F1045" s="6">
        <v>38019</v>
      </c>
      <c r="G1045" s="6">
        <v>38767</v>
      </c>
      <c r="H1045" s="6">
        <v>39627</v>
      </c>
      <c r="I1045" s="1" t="str">
        <f t="shared" si="32"/>
        <v xml:space="preserve"> Texas</v>
      </c>
      <c r="J1045" s="1" t="str">
        <f t="shared" si="33"/>
        <v>Copperas Cove city</v>
      </c>
      <c r="K1045" s="1">
        <f>IF(COUNTIF($I$5:I1045,I1045)=1,1,0)</f>
        <v>0</v>
      </c>
    </row>
    <row r="1046" spans="1:11" x14ac:dyDescent="0.2">
      <c r="A1046" s="9">
        <v>1042</v>
      </c>
      <c r="B1046" s="5" t="s">
        <v>1041</v>
      </c>
      <c r="C1046" s="6">
        <v>37592</v>
      </c>
      <c r="D1046" s="6">
        <v>37609</v>
      </c>
      <c r="E1046" s="6">
        <v>38148</v>
      </c>
      <c r="F1046" s="6">
        <v>38658</v>
      </c>
      <c r="G1046" s="6">
        <v>39277</v>
      </c>
      <c r="H1046" s="6">
        <v>39620</v>
      </c>
      <c r="I1046" s="1" t="str">
        <f t="shared" si="32"/>
        <v xml:space="preserve"> Florida</v>
      </c>
      <c r="J1046" s="1" t="str">
        <f t="shared" si="33"/>
        <v>Riviera Beach city</v>
      </c>
      <c r="K1046" s="1">
        <f>IF(COUNTIF($I$5:I1046,I1046)=1,1,0)</f>
        <v>0</v>
      </c>
    </row>
    <row r="1047" spans="1:11" x14ac:dyDescent="0.2">
      <c r="A1047" s="9">
        <v>1043</v>
      </c>
      <c r="B1047" s="5" t="s">
        <v>1042</v>
      </c>
      <c r="C1047" s="6">
        <v>38727</v>
      </c>
      <c r="D1047" s="6">
        <v>38604</v>
      </c>
      <c r="E1047" s="6">
        <v>38433</v>
      </c>
      <c r="F1047" s="6">
        <v>38663</v>
      </c>
      <c r="G1047" s="6">
        <v>39280</v>
      </c>
      <c r="H1047" s="6">
        <v>39606</v>
      </c>
      <c r="I1047" s="1" t="str">
        <f t="shared" si="32"/>
        <v xml:space="preserve"> South Carolina</v>
      </c>
      <c r="J1047" s="1" t="str">
        <f t="shared" si="33"/>
        <v>Spartanburg city</v>
      </c>
      <c r="K1047" s="1">
        <f>IF(COUNTIF($I$5:I1047,I1047)=1,1,0)</f>
        <v>0</v>
      </c>
    </row>
    <row r="1048" spans="1:11" x14ac:dyDescent="0.2">
      <c r="A1048" s="9">
        <v>1044</v>
      </c>
      <c r="B1048" s="5" t="s">
        <v>1043</v>
      </c>
      <c r="C1048" s="6">
        <v>35150</v>
      </c>
      <c r="D1048" s="6">
        <v>35295</v>
      </c>
      <c r="E1048" s="6">
        <v>35465</v>
      </c>
      <c r="F1048" s="6">
        <v>36692</v>
      </c>
      <c r="G1048" s="6">
        <v>38510</v>
      </c>
      <c r="H1048" s="6">
        <v>39581</v>
      </c>
      <c r="I1048" s="1" t="str">
        <f t="shared" si="32"/>
        <v xml:space="preserve"> Kentucky</v>
      </c>
      <c r="J1048" s="1" t="str">
        <f t="shared" si="33"/>
        <v>Richmond city</v>
      </c>
      <c r="K1048" s="1">
        <f>IF(COUNTIF($I$5:I1048,I1048)=1,1,0)</f>
        <v>0</v>
      </c>
    </row>
    <row r="1049" spans="1:11" x14ac:dyDescent="0.2">
      <c r="A1049" s="9">
        <v>1045</v>
      </c>
      <c r="B1049" s="5" t="s">
        <v>1044</v>
      </c>
      <c r="C1049" s="6">
        <v>40018</v>
      </c>
      <c r="D1049" s="6">
        <v>40005</v>
      </c>
      <c r="E1049" s="6">
        <v>39731</v>
      </c>
      <c r="F1049" s="6">
        <v>39700</v>
      </c>
      <c r="G1049" s="6">
        <v>39605</v>
      </c>
      <c r="H1049" s="6">
        <v>39561</v>
      </c>
      <c r="I1049" s="1" t="str">
        <f t="shared" si="32"/>
        <v xml:space="preserve"> Kansas</v>
      </c>
      <c r="J1049" s="1" t="str">
        <f t="shared" si="33"/>
        <v>Hutchinson city</v>
      </c>
      <c r="K1049" s="1">
        <f>IF(COUNTIF($I$5:I1049,I1049)=1,1,0)</f>
        <v>0</v>
      </c>
    </row>
    <row r="1050" spans="1:11" x14ac:dyDescent="0.2">
      <c r="A1050" s="9">
        <v>1046</v>
      </c>
      <c r="B1050" s="5" t="s">
        <v>1045</v>
      </c>
      <c r="C1050" s="6">
        <v>39851</v>
      </c>
      <c r="D1050" s="6">
        <v>39760</v>
      </c>
      <c r="E1050" s="6">
        <v>39425</v>
      </c>
      <c r="F1050" s="6">
        <v>39181</v>
      </c>
      <c r="G1050" s="6">
        <v>39249</v>
      </c>
      <c r="H1050" s="6">
        <v>39556</v>
      </c>
      <c r="I1050" s="1" t="str">
        <f t="shared" si="32"/>
        <v xml:space="preserve"> Illinois</v>
      </c>
      <c r="J1050" s="1" t="str">
        <f t="shared" si="33"/>
        <v>Carol Stream village</v>
      </c>
      <c r="K1050" s="1">
        <f>IF(COUNTIF($I$5:I1050,I1050)=1,1,0)</f>
        <v>0</v>
      </c>
    </row>
    <row r="1051" spans="1:11" x14ac:dyDescent="0.2">
      <c r="A1051" s="9">
        <v>1047</v>
      </c>
      <c r="B1051" s="5" t="s">
        <v>1046</v>
      </c>
      <c r="C1051" s="6">
        <v>40417</v>
      </c>
      <c r="D1051" s="6">
        <v>40316</v>
      </c>
      <c r="E1051" s="6">
        <v>40100</v>
      </c>
      <c r="F1051" s="6">
        <v>39788</v>
      </c>
      <c r="G1051" s="6">
        <v>39589</v>
      </c>
      <c r="H1051" s="6">
        <v>39500</v>
      </c>
      <c r="I1051" s="1" t="str">
        <f t="shared" si="32"/>
        <v xml:space="preserve"> Texas</v>
      </c>
      <c r="J1051" s="1" t="str">
        <f t="shared" si="33"/>
        <v>Hurst city</v>
      </c>
      <c r="K1051" s="1">
        <f>IF(COUNTIF($I$5:I1051,I1051)=1,1,0)</f>
        <v>0</v>
      </c>
    </row>
    <row r="1052" spans="1:11" x14ac:dyDescent="0.2">
      <c r="A1052" s="9">
        <v>1048</v>
      </c>
      <c r="B1052" s="5" t="s">
        <v>1047</v>
      </c>
      <c r="C1052" s="6">
        <v>39191</v>
      </c>
      <c r="D1052" s="6">
        <v>39244</v>
      </c>
      <c r="E1052" s="6">
        <v>39432</v>
      </c>
      <c r="F1052" s="6">
        <v>39121</v>
      </c>
      <c r="G1052" s="6">
        <v>39325</v>
      </c>
      <c r="H1052" s="6">
        <v>39468</v>
      </c>
      <c r="I1052" s="1" t="str">
        <f t="shared" si="32"/>
        <v xml:space="preserve"> Oregon</v>
      </c>
      <c r="J1052" s="1" t="str">
        <f t="shared" si="33"/>
        <v>Grants Pass city</v>
      </c>
      <c r="K1052" s="1">
        <f>IF(COUNTIF($I$5:I1052,I1052)=1,1,0)</f>
        <v>0</v>
      </c>
    </row>
    <row r="1053" spans="1:11" x14ac:dyDescent="0.2">
      <c r="A1053" s="9">
        <v>1049</v>
      </c>
      <c r="B1053" s="5" t="s">
        <v>1048</v>
      </c>
      <c r="C1053" s="6">
        <v>36722</v>
      </c>
      <c r="D1053" s="6">
        <v>36737</v>
      </c>
      <c r="E1053" s="6">
        <v>36720</v>
      </c>
      <c r="F1053" s="6">
        <v>37402</v>
      </c>
      <c r="G1053" s="6">
        <v>38190</v>
      </c>
      <c r="H1053" s="6">
        <v>39398</v>
      </c>
      <c r="I1053" s="1" t="str">
        <f t="shared" si="32"/>
        <v xml:space="preserve"> Utah</v>
      </c>
      <c r="J1053" s="1" t="str">
        <f t="shared" si="33"/>
        <v>Kearns metro township</v>
      </c>
      <c r="K1053" s="1">
        <f>IF(COUNTIF($I$5:I1053,I1053)=1,1,0)</f>
        <v>0</v>
      </c>
    </row>
    <row r="1054" spans="1:11" x14ac:dyDescent="0.2">
      <c r="A1054" s="9">
        <v>1050</v>
      </c>
      <c r="B1054" s="5" t="s">
        <v>1049</v>
      </c>
      <c r="C1054" s="6">
        <v>30902</v>
      </c>
      <c r="D1054" s="6">
        <v>31178</v>
      </c>
      <c r="E1054" s="6">
        <v>33981</v>
      </c>
      <c r="F1054" s="6">
        <v>36244</v>
      </c>
      <c r="G1054" s="6">
        <v>38198</v>
      </c>
      <c r="H1054" s="6">
        <v>39397</v>
      </c>
      <c r="I1054" s="1" t="str">
        <f t="shared" si="32"/>
        <v xml:space="preserve"> Texas</v>
      </c>
      <c r="J1054" s="1" t="str">
        <f t="shared" si="33"/>
        <v>Weatherford city</v>
      </c>
      <c r="K1054" s="1">
        <f>IF(COUNTIF($I$5:I1054,I1054)=1,1,0)</f>
        <v>0</v>
      </c>
    </row>
    <row r="1055" spans="1:11" x14ac:dyDescent="0.2">
      <c r="A1055" s="9">
        <v>1051</v>
      </c>
      <c r="B1055" s="5" t="s">
        <v>1050</v>
      </c>
      <c r="C1055" s="6">
        <v>35095</v>
      </c>
      <c r="D1055" s="6">
        <v>35234</v>
      </c>
      <c r="E1055" s="6">
        <v>36365</v>
      </c>
      <c r="F1055" s="6">
        <v>37365</v>
      </c>
      <c r="G1055" s="6">
        <v>38543</v>
      </c>
      <c r="H1055" s="6">
        <v>39381</v>
      </c>
      <c r="I1055" s="1" t="str">
        <f t="shared" si="32"/>
        <v xml:space="preserve"> Georgia</v>
      </c>
      <c r="J1055" s="1" t="str">
        <f t="shared" si="33"/>
        <v>Woodstock city</v>
      </c>
      <c r="K1055" s="1">
        <f>IF(COUNTIF($I$5:I1055,I1055)=1,1,0)</f>
        <v>0</v>
      </c>
    </row>
    <row r="1056" spans="1:11" x14ac:dyDescent="0.2">
      <c r="A1056" s="9">
        <v>1052</v>
      </c>
      <c r="B1056" s="5" t="s">
        <v>1051</v>
      </c>
      <c r="C1056" s="6">
        <v>31383</v>
      </c>
      <c r="D1056" s="6">
        <v>31412</v>
      </c>
      <c r="E1056" s="6">
        <v>32094</v>
      </c>
      <c r="F1056" s="6">
        <v>33839</v>
      </c>
      <c r="G1056" s="6">
        <v>35654</v>
      </c>
      <c r="H1056" s="6">
        <v>39345</v>
      </c>
      <c r="I1056" s="1" t="str">
        <f t="shared" si="32"/>
        <v xml:space="preserve"> North Carolina</v>
      </c>
      <c r="J1056" s="1" t="str">
        <f t="shared" si="33"/>
        <v>Garner town</v>
      </c>
      <c r="K1056" s="1">
        <f>IF(COUNTIF($I$5:I1056,I1056)=1,1,0)</f>
        <v>0</v>
      </c>
    </row>
    <row r="1057" spans="1:11" x14ac:dyDescent="0.2">
      <c r="A1057" s="9">
        <v>1053</v>
      </c>
      <c r="B1057" s="5" t="s">
        <v>1052</v>
      </c>
      <c r="C1057" s="6">
        <v>35972</v>
      </c>
      <c r="D1057" s="6">
        <v>36008</v>
      </c>
      <c r="E1057" s="6">
        <v>36650</v>
      </c>
      <c r="F1057" s="6">
        <v>37497</v>
      </c>
      <c r="G1057" s="6">
        <v>38360</v>
      </c>
      <c r="H1057" s="6">
        <v>39253</v>
      </c>
      <c r="I1057" s="1" t="str">
        <f t="shared" si="32"/>
        <v xml:space="preserve"> Wisconsin</v>
      </c>
      <c r="J1057" s="1" t="str">
        <f t="shared" si="33"/>
        <v>Sun Prairie city</v>
      </c>
      <c r="K1057" s="1">
        <f>IF(COUNTIF($I$5:I1057,I1057)=1,1,0)</f>
        <v>0</v>
      </c>
    </row>
    <row r="1058" spans="1:11" x14ac:dyDescent="0.2">
      <c r="A1058" s="9">
        <v>1054</v>
      </c>
      <c r="B1058" s="5" t="s">
        <v>1053</v>
      </c>
      <c r="C1058" s="6">
        <v>40707</v>
      </c>
      <c r="D1058" s="6">
        <v>40533</v>
      </c>
      <c r="E1058" s="6">
        <v>39808</v>
      </c>
      <c r="F1058" s="6">
        <v>39556</v>
      </c>
      <c r="G1058" s="6">
        <v>39335</v>
      </c>
      <c r="H1058" s="6">
        <v>39203</v>
      </c>
      <c r="I1058" s="1" t="str">
        <f t="shared" si="32"/>
        <v xml:space="preserve"> Texas</v>
      </c>
      <c r="J1058" s="1" t="str">
        <f t="shared" si="33"/>
        <v>Duncanville city</v>
      </c>
      <c r="K1058" s="1">
        <f>IF(COUNTIF($I$5:I1058,I1058)=1,1,0)</f>
        <v>0</v>
      </c>
    </row>
    <row r="1059" spans="1:11" x14ac:dyDescent="0.2">
      <c r="A1059" s="9">
        <v>1055</v>
      </c>
      <c r="B1059" s="5" t="s">
        <v>1054</v>
      </c>
      <c r="C1059" s="6">
        <v>39363</v>
      </c>
      <c r="D1059" s="6">
        <v>39325</v>
      </c>
      <c r="E1059" s="6">
        <v>39205</v>
      </c>
      <c r="F1059" s="6">
        <v>38828</v>
      </c>
      <c r="G1059" s="6">
        <v>38860</v>
      </c>
      <c r="H1059" s="6">
        <v>39152</v>
      </c>
      <c r="I1059" s="1" t="str">
        <f t="shared" si="32"/>
        <v xml:space="preserve"> Oregon</v>
      </c>
      <c r="J1059" s="1" t="str">
        <f t="shared" si="33"/>
        <v>Keizer city</v>
      </c>
      <c r="K1059" s="1">
        <f>IF(COUNTIF($I$5:I1059,I1059)=1,1,0)</f>
        <v>0</v>
      </c>
    </row>
    <row r="1060" spans="1:11" x14ac:dyDescent="0.2">
      <c r="A1060" s="9">
        <v>1056</v>
      </c>
      <c r="B1060" s="5" t="s">
        <v>1055</v>
      </c>
      <c r="C1060" s="6">
        <v>39146</v>
      </c>
      <c r="D1060" s="6">
        <v>39075</v>
      </c>
      <c r="E1060" s="6">
        <v>38789</v>
      </c>
      <c r="F1060" s="6">
        <v>38763</v>
      </c>
      <c r="G1060" s="6">
        <v>38771</v>
      </c>
      <c r="H1060" s="6">
        <v>39134</v>
      </c>
      <c r="I1060" s="1" t="str">
        <f t="shared" si="32"/>
        <v xml:space="preserve"> Massachusetts</v>
      </c>
      <c r="J1060" s="1" t="str">
        <f t="shared" si="33"/>
        <v>Braintree Town city</v>
      </c>
      <c r="K1060" s="1">
        <f>IF(COUNTIF($I$5:I1060,I1060)=1,1,0)</f>
        <v>0</v>
      </c>
    </row>
    <row r="1061" spans="1:11" x14ac:dyDescent="0.2">
      <c r="A1061" s="9">
        <v>1057</v>
      </c>
      <c r="B1061" s="5" t="s">
        <v>1056</v>
      </c>
      <c r="C1061" s="6">
        <v>32140</v>
      </c>
      <c r="D1061" s="6">
        <v>32390</v>
      </c>
      <c r="E1061" s="6">
        <v>33403</v>
      </c>
      <c r="F1061" s="6">
        <v>35577</v>
      </c>
      <c r="G1061" s="6">
        <v>37124</v>
      </c>
      <c r="H1061" s="6">
        <v>38999</v>
      </c>
      <c r="I1061" s="1" t="str">
        <f t="shared" si="32"/>
        <v xml:space="preserve"> Utah</v>
      </c>
      <c r="J1061" s="1" t="str">
        <f t="shared" si="33"/>
        <v>Syracuse city</v>
      </c>
      <c r="K1061" s="1">
        <f>IF(COUNTIF($I$5:I1061,I1061)=1,1,0)</f>
        <v>0</v>
      </c>
    </row>
    <row r="1062" spans="1:11" x14ac:dyDescent="0.2">
      <c r="A1062" s="9">
        <v>1058</v>
      </c>
      <c r="B1062" s="5" t="s">
        <v>1057</v>
      </c>
      <c r="C1062" s="6">
        <v>38489</v>
      </c>
      <c r="D1062" s="6">
        <v>38416</v>
      </c>
      <c r="E1062" s="6">
        <v>38453</v>
      </c>
      <c r="F1062" s="6">
        <v>38597</v>
      </c>
      <c r="G1062" s="6">
        <v>38701</v>
      </c>
      <c r="H1062" s="6">
        <v>38959</v>
      </c>
      <c r="I1062" s="1" t="str">
        <f t="shared" si="32"/>
        <v xml:space="preserve"> New Jersey</v>
      </c>
      <c r="J1062" s="1" t="str">
        <f t="shared" si="33"/>
        <v>Atlantic City city</v>
      </c>
      <c r="K1062" s="1">
        <f>IF(COUNTIF($I$5:I1062,I1062)=1,1,0)</f>
        <v>0</v>
      </c>
    </row>
    <row r="1063" spans="1:11" x14ac:dyDescent="0.2">
      <c r="A1063" s="9">
        <v>1059</v>
      </c>
      <c r="B1063" s="5" t="s">
        <v>1058</v>
      </c>
      <c r="C1063" s="6">
        <v>37168</v>
      </c>
      <c r="D1063" s="6">
        <v>37190</v>
      </c>
      <c r="E1063" s="6">
        <v>36980</v>
      </c>
      <c r="F1063" s="6">
        <v>37558</v>
      </c>
      <c r="G1063" s="6">
        <v>37630</v>
      </c>
      <c r="H1063" s="6">
        <v>38832</v>
      </c>
      <c r="I1063" s="1" t="str">
        <f t="shared" si="32"/>
        <v xml:space="preserve"> Ohio</v>
      </c>
      <c r="J1063" s="1" t="str">
        <f t="shared" si="33"/>
        <v>Hilliard city</v>
      </c>
      <c r="K1063" s="1">
        <f>IF(COUNTIF($I$5:I1063,I1063)=1,1,0)</f>
        <v>0</v>
      </c>
    </row>
    <row r="1064" spans="1:11" x14ac:dyDescent="0.2">
      <c r="A1064" s="9">
        <v>1060</v>
      </c>
      <c r="B1064" s="5" t="s">
        <v>1059</v>
      </c>
      <c r="C1064" s="6">
        <v>29447</v>
      </c>
      <c r="D1064" s="6">
        <v>29480</v>
      </c>
      <c r="E1064" s="6">
        <v>30969</v>
      </c>
      <c r="F1064" s="6">
        <v>33447</v>
      </c>
      <c r="G1064" s="6">
        <v>36122</v>
      </c>
      <c r="H1064" s="6">
        <v>38789</v>
      </c>
      <c r="I1064" s="1" t="str">
        <f t="shared" si="32"/>
        <v xml:space="preserve"> Texas</v>
      </c>
      <c r="J1064" s="1" t="str">
        <f t="shared" si="33"/>
        <v>Seguin city</v>
      </c>
      <c r="K1064" s="1">
        <f>IF(COUNTIF($I$5:I1064,I1064)=1,1,0)</f>
        <v>0</v>
      </c>
    </row>
    <row r="1065" spans="1:11" x14ac:dyDescent="0.2">
      <c r="A1065" s="9">
        <v>1061</v>
      </c>
      <c r="B1065" s="5" t="s">
        <v>1060</v>
      </c>
      <c r="C1065" s="6">
        <v>39637</v>
      </c>
      <c r="D1065" s="6">
        <v>39575</v>
      </c>
      <c r="E1065" s="6">
        <v>39275</v>
      </c>
      <c r="F1065" s="6">
        <v>38980</v>
      </c>
      <c r="G1065" s="6">
        <v>38959</v>
      </c>
      <c r="H1065" s="6">
        <v>38786</v>
      </c>
      <c r="I1065" s="1" t="str">
        <f t="shared" si="32"/>
        <v xml:space="preserve"> Illinois</v>
      </c>
      <c r="J1065" s="1" t="str">
        <f t="shared" si="33"/>
        <v>Quincy city</v>
      </c>
      <c r="K1065" s="1">
        <f>IF(COUNTIF($I$5:I1065,I1065)=1,1,0)</f>
        <v>0</v>
      </c>
    </row>
    <row r="1066" spans="1:11" x14ac:dyDescent="0.2">
      <c r="A1066" s="9">
        <v>1062</v>
      </c>
      <c r="B1066" s="5" t="s">
        <v>1061</v>
      </c>
      <c r="C1066" s="6">
        <v>41255</v>
      </c>
      <c r="D1066" s="6">
        <v>40974</v>
      </c>
      <c r="E1066" s="6">
        <v>40338</v>
      </c>
      <c r="F1066" s="6">
        <v>39609</v>
      </c>
      <c r="G1066" s="6">
        <v>38985</v>
      </c>
      <c r="H1066" s="6">
        <v>38785</v>
      </c>
      <c r="I1066" s="1" t="str">
        <f t="shared" si="32"/>
        <v xml:space="preserve"> Arkansas</v>
      </c>
      <c r="J1066" s="1" t="str">
        <f t="shared" si="33"/>
        <v>Pine Bluff city</v>
      </c>
      <c r="K1066" s="1">
        <f>IF(COUNTIF($I$5:I1066,I1066)=1,1,0)</f>
        <v>0</v>
      </c>
    </row>
    <row r="1067" spans="1:11" x14ac:dyDescent="0.2">
      <c r="A1067" s="9">
        <v>1063</v>
      </c>
      <c r="B1067" s="5" t="s">
        <v>1062</v>
      </c>
      <c r="C1067" s="6">
        <v>34623</v>
      </c>
      <c r="D1067" s="6">
        <v>34744</v>
      </c>
      <c r="E1067" s="6">
        <v>35356</v>
      </c>
      <c r="F1067" s="6">
        <v>35952</v>
      </c>
      <c r="G1067" s="6">
        <v>37080</v>
      </c>
      <c r="H1067" s="6">
        <v>38778</v>
      </c>
      <c r="I1067" s="1" t="str">
        <f t="shared" si="32"/>
        <v xml:space="preserve"> Illinois</v>
      </c>
      <c r="J1067" s="1" t="str">
        <f t="shared" si="33"/>
        <v>Oswego village</v>
      </c>
      <c r="K1067" s="1">
        <f>IF(COUNTIF($I$5:I1067,I1067)=1,1,0)</f>
        <v>0</v>
      </c>
    </row>
    <row r="1068" spans="1:11" x14ac:dyDescent="0.2">
      <c r="A1068" s="9">
        <v>1064</v>
      </c>
      <c r="B1068" s="5" t="s">
        <v>1063</v>
      </c>
      <c r="C1068" s="6">
        <v>40258</v>
      </c>
      <c r="D1068" s="6">
        <v>40106</v>
      </c>
      <c r="E1068" s="6">
        <v>39617</v>
      </c>
      <c r="F1068" s="6">
        <v>39043</v>
      </c>
      <c r="G1068" s="6">
        <v>38779</v>
      </c>
      <c r="H1068" s="6">
        <v>38774</v>
      </c>
      <c r="I1068" s="1" t="str">
        <f t="shared" si="32"/>
        <v xml:space="preserve"> Michigan</v>
      </c>
      <c r="J1068" s="1" t="str">
        <f t="shared" si="33"/>
        <v>Lincoln Park city</v>
      </c>
      <c r="K1068" s="1">
        <f>IF(COUNTIF($I$5:I1068,I1068)=1,1,0)</f>
        <v>0</v>
      </c>
    </row>
    <row r="1069" spans="1:11" x14ac:dyDescent="0.2">
      <c r="A1069" s="9">
        <v>1065</v>
      </c>
      <c r="B1069" s="5" t="s">
        <v>1064</v>
      </c>
      <c r="C1069" s="6">
        <v>37124</v>
      </c>
      <c r="D1069" s="6">
        <v>37110</v>
      </c>
      <c r="E1069" s="6">
        <v>38379</v>
      </c>
      <c r="F1069" s="6">
        <v>38632</v>
      </c>
      <c r="G1069" s="6">
        <v>38709</v>
      </c>
      <c r="H1069" s="6">
        <v>38772</v>
      </c>
      <c r="I1069" s="1" t="str">
        <f t="shared" si="32"/>
        <v xml:space="preserve"> Maine</v>
      </c>
      <c r="J1069" s="1" t="str">
        <f t="shared" si="33"/>
        <v>Lewiston city</v>
      </c>
      <c r="K1069" s="1">
        <f>IF(COUNTIF($I$5:I1069,I1069)=1,1,0)</f>
        <v>0</v>
      </c>
    </row>
    <row r="1070" spans="1:11" x14ac:dyDescent="0.2">
      <c r="A1070" s="9">
        <v>1066</v>
      </c>
      <c r="B1070" s="5" t="s">
        <v>1065</v>
      </c>
      <c r="C1070" s="6">
        <v>37929</v>
      </c>
      <c r="D1070" s="6">
        <v>37874</v>
      </c>
      <c r="E1070" s="6">
        <v>37779</v>
      </c>
      <c r="F1070" s="6">
        <v>38164</v>
      </c>
      <c r="G1070" s="6">
        <v>38411</v>
      </c>
      <c r="H1070" s="6">
        <v>38747</v>
      </c>
      <c r="I1070" s="1" t="str">
        <f t="shared" si="32"/>
        <v xml:space="preserve"> Georgia</v>
      </c>
      <c r="J1070" s="1" t="str">
        <f t="shared" si="33"/>
        <v>Rome city</v>
      </c>
      <c r="K1070" s="1">
        <f>IF(COUNTIF($I$5:I1070,I1070)=1,1,0)</f>
        <v>0</v>
      </c>
    </row>
    <row r="1071" spans="1:11" x14ac:dyDescent="0.2">
      <c r="A1071" s="9">
        <v>1067</v>
      </c>
      <c r="B1071" s="5" t="s">
        <v>1066</v>
      </c>
      <c r="C1071" s="6">
        <v>38616</v>
      </c>
      <c r="D1071" s="6">
        <v>38582</v>
      </c>
      <c r="E1071" s="6">
        <v>38550</v>
      </c>
      <c r="F1071" s="6">
        <v>38475</v>
      </c>
      <c r="G1071" s="6">
        <v>38563</v>
      </c>
      <c r="H1071" s="6">
        <v>38744</v>
      </c>
      <c r="I1071" s="1" t="str">
        <f t="shared" si="32"/>
        <v xml:space="preserve"> California</v>
      </c>
      <c r="J1071" s="1" t="str">
        <f t="shared" si="33"/>
        <v>Calexico city</v>
      </c>
      <c r="K1071" s="1">
        <f>IF(COUNTIF($I$5:I1071,I1071)=1,1,0)</f>
        <v>0</v>
      </c>
    </row>
    <row r="1072" spans="1:11" x14ac:dyDescent="0.2">
      <c r="A1072" s="9">
        <v>1068</v>
      </c>
      <c r="B1072" s="5" t="s">
        <v>1067</v>
      </c>
      <c r="C1072" s="6">
        <v>39305</v>
      </c>
      <c r="D1072" s="6">
        <v>39325</v>
      </c>
      <c r="E1072" s="6">
        <v>39308</v>
      </c>
      <c r="F1072" s="6">
        <v>38847</v>
      </c>
      <c r="G1072" s="6">
        <v>38715</v>
      </c>
      <c r="H1072" s="6">
        <v>38719</v>
      </c>
      <c r="I1072" s="1" t="str">
        <f t="shared" si="32"/>
        <v xml:space="preserve"> Utah</v>
      </c>
      <c r="J1072" s="1" t="str">
        <f t="shared" si="33"/>
        <v>Roy city</v>
      </c>
      <c r="K1072" s="1">
        <f>IF(COUNTIF($I$5:I1072,I1072)=1,1,0)</f>
        <v>0</v>
      </c>
    </row>
    <row r="1073" spans="1:11" x14ac:dyDescent="0.2">
      <c r="A1073" s="9">
        <v>1069</v>
      </c>
      <c r="B1073" s="5" t="s">
        <v>1068</v>
      </c>
      <c r="C1073" s="6">
        <v>39248</v>
      </c>
      <c r="D1073" s="6">
        <v>39164</v>
      </c>
      <c r="E1073" s="6">
        <v>39068</v>
      </c>
      <c r="F1073" s="6">
        <v>38921</v>
      </c>
      <c r="G1073" s="6">
        <v>38754</v>
      </c>
      <c r="H1073" s="6">
        <v>38683</v>
      </c>
      <c r="I1073" s="1" t="str">
        <f t="shared" si="32"/>
        <v xml:space="preserve"> Ohio</v>
      </c>
      <c r="J1073" s="1" t="str">
        <f t="shared" si="33"/>
        <v>Warren city</v>
      </c>
      <c r="K1073" s="1">
        <f>IF(COUNTIF($I$5:I1073,I1073)=1,1,0)</f>
        <v>0</v>
      </c>
    </row>
    <row r="1074" spans="1:11" x14ac:dyDescent="0.2">
      <c r="A1074" s="9">
        <v>1070</v>
      </c>
      <c r="B1074" s="5" t="s">
        <v>1069</v>
      </c>
      <c r="C1074" s="6">
        <v>34301</v>
      </c>
      <c r="D1074" s="6">
        <v>34638</v>
      </c>
      <c r="E1074" s="6">
        <v>36172</v>
      </c>
      <c r="F1074" s="6">
        <v>37806</v>
      </c>
      <c r="G1074" s="6">
        <v>38334</v>
      </c>
      <c r="H1074" s="6">
        <v>38642</v>
      </c>
      <c r="I1074" s="1" t="str">
        <f t="shared" si="32"/>
        <v xml:space="preserve"> Texas</v>
      </c>
      <c r="J1074" s="1" t="str">
        <f t="shared" si="33"/>
        <v>Socorro city</v>
      </c>
      <c r="K1074" s="1">
        <f>IF(COUNTIF($I$5:I1074,I1074)=1,1,0)</f>
        <v>0</v>
      </c>
    </row>
    <row r="1075" spans="1:11" x14ac:dyDescent="0.2">
      <c r="A1075" s="9">
        <v>1071</v>
      </c>
      <c r="B1075" s="5" t="s">
        <v>1070</v>
      </c>
      <c r="C1075" s="6">
        <v>39192</v>
      </c>
      <c r="D1075" s="6">
        <v>39240</v>
      </c>
      <c r="E1075" s="6">
        <v>38682</v>
      </c>
      <c r="F1075" s="6">
        <v>38541</v>
      </c>
      <c r="G1075" s="6">
        <v>38493</v>
      </c>
      <c r="H1075" s="6">
        <v>38612</v>
      </c>
      <c r="I1075" s="1" t="str">
        <f t="shared" si="32"/>
        <v xml:space="preserve"> Ohio</v>
      </c>
      <c r="J1075" s="1" t="str">
        <f t="shared" si="33"/>
        <v>Westerville city</v>
      </c>
      <c r="K1075" s="1">
        <f>IF(COUNTIF($I$5:I1075,I1075)=1,1,0)</f>
        <v>0</v>
      </c>
    </row>
    <row r="1076" spans="1:11" x14ac:dyDescent="0.2">
      <c r="A1076" s="9">
        <v>1072</v>
      </c>
      <c r="B1076" s="5" t="s">
        <v>1071</v>
      </c>
      <c r="C1076" s="6">
        <v>30053</v>
      </c>
      <c r="D1076" s="6">
        <v>30413</v>
      </c>
      <c r="E1076" s="6">
        <v>31549</v>
      </c>
      <c r="F1076" s="6">
        <v>33148</v>
      </c>
      <c r="G1076" s="6">
        <v>35333</v>
      </c>
      <c r="H1076" s="6">
        <v>38594</v>
      </c>
      <c r="I1076" s="1" t="str">
        <f t="shared" si="32"/>
        <v xml:space="preserve"> Colorado</v>
      </c>
      <c r="J1076" s="1" t="str">
        <f t="shared" si="33"/>
        <v>Erie town</v>
      </c>
      <c r="K1076" s="1">
        <f>IF(COUNTIF($I$5:I1076,I1076)=1,1,0)</f>
        <v>0</v>
      </c>
    </row>
    <row r="1077" spans="1:11" x14ac:dyDescent="0.2">
      <c r="A1077" s="9">
        <v>1073</v>
      </c>
      <c r="B1077" s="5" t="s">
        <v>1072</v>
      </c>
      <c r="C1077" s="6">
        <v>37933</v>
      </c>
      <c r="D1077" s="6">
        <v>37963</v>
      </c>
      <c r="E1077" s="6">
        <v>38261</v>
      </c>
      <c r="F1077" s="6">
        <v>38371</v>
      </c>
      <c r="G1077" s="6">
        <v>38496</v>
      </c>
      <c r="H1077" s="6">
        <v>38576</v>
      </c>
      <c r="I1077" s="1" t="str">
        <f t="shared" si="32"/>
        <v xml:space="preserve"> Indiana</v>
      </c>
      <c r="J1077" s="1" t="str">
        <f t="shared" si="33"/>
        <v>Portage city</v>
      </c>
      <c r="K1077" s="1">
        <f>IF(COUNTIF($I$5:I1077,I1077)=1,1,0)</f>
        <v>0</v>
      </c>
    </row>
    <row r="1078" spans="1:11" x14ac:dyDescent="0.2">
      <c r="A1078" s="9">
        <v>1074</v>
      </c>
      <c r="B1078" s="5" t="s">
        <v>1073</v>
      </c>
      <c r="C1078" s="6">
        <v>23493</v>
      </c>
      <c r="D1078" s="6">
        <v>23912</v>
      </c>
      <c r="E1078" s="6">
        <v>27335</v>
      </c>
      <c r="F1078" s="6">
        <v>32212</v>
      </c>
      <c r="G1078" s="6">
        <v>35677</v>
      </c>
      <c r="H1078" s="6">
        <v>38572</v>
      </c>
      <c r="I1078" s="1" t="str">
        <f t="shared" si="32"/>
        <v xml:space="preserve"> Texas</v>
      </c>
      <c r="J1078" s="1" t="str">
        <f t="shared" si="33"/>
        <v>Forney city</v>
      </c>
      <c r="K1078" s="1">
        <f>IF(COUNTIF($I$5:I1078,I1078)=1,1,0)</f>
        <v>0</v>
      </c>
    </row>
    <row r="1079" spans="1:11" x14ac:dyDescent="0.2">
      <c r="A1079" s="9">
        <v>1075</v>
      </c>
      <c r="B1079" s="5" t="s">
        <v>1074</v>
      </c>
      <c r="C1079" s="6">
        <v>38817</v>
      </c>
      <c r="D1079" s="6">
        <v>38809</v>
      </c>
      <c r="E1079" s="6">
        <v>38395</v>
      </c>
      <c r="F1079" s="6">
        <v>38264</v>
      </c>
      <c r="G1079" s="6">
        <v>38513</v>
      </c>
      <c r="H1079" s="6">
        <v>38509</v>
      </c>
      <c r="I1079" s="1" t="str">
        <f t="shared" si="32"/>
        <v xml:space="preserve"> Alabama</v>
      </c>
      <c r="J1079" s="1" t="str">
        <f t="shared" si="33"/>
        <v>Phenix City city</v>
      </c>
      <c r="K1079" s="1">
        <f>IF(COUNTIF($I$5:I1079,I1079)=1,1,0)</f>
        <v>0</v>
      </c>
    </row>
    <row r="1080" spans="1:11" x14ac:dyDescent="0.2">
      <c r="A1080" s="9">
        <v>1076</v>
      </c>
      <c r="B1080" s="5" t="s">
        <v>1075</v>
      </c>
      <c r="C1080" s="6">
        <v>39645</v>
      </c>
      <c r="D1080" s="6">
        <v>39502</v>
      </c>
      <c r="E1080" s="6">
        <v>38806</v>
      </c>
      <c r="F1080" s="6">
        <v>38331</v>
      </c>
      <c r="G1080" s="6">
        <v>38203</v>
      </c>
      <c r="H1080" s="6">
        <v>38445</v>
      </c>
      <c r="I1080" s="1" t="str">
        <f t="shared" si="32"/>
        <v xml:space="preserve"> Illinois</v>
      </c>
      <c r="J1080" s="1" t="str">
        <f t="shared" si="33"/>
        <v>Park Ridge city</v>
      </c>
      <c r="K1080" s="1">
        <f>IF(COUNTIF($I$5:I1080,I1080)=1,1,0)</f>
        <v>0</v>
      </c>
    </row>
    <row r="1081" spans="1:11" x14ac:dyDescent="0.2">
      <c r="A1081" s="9">
        <v>1077</v>
      </c>
      <c r="B1081" s="5" t="s">
        <v>1076</v>
      </c>
      <c r="C1081" s="6">
        <v>36948</v>
      </c>
      <c r="D1081" s="6">
        <v>37055</v>
      </c>
      <c r="E1081" s="6">
        <v>37468</v>
      </c>
      <c r="F1081" s="6">
        <v>37998</v>
      </c>
      <c r="G1081" s="6">
        <v>38379</v>
      </c>
      <c r="H1081" s="6">
        <v>38443</v>
      </c>
      <c r="I1081" s="1" t="str">
        <f t="shared" si="32"/>
        <v xml:space="preserve"> Florida</v>
      </c>
      <c r="J1081" s="1" t="str">
        <f t="shared" si="33"/>
        <v>Estero village</v>
      </c>
      <c r="K1081" s="1">
        <f>IF(COUNTIF($I$5:I1081,I1081)=1,1,0)</f>
        <v>0</v>
      </c>
    </row>
    <row r="1082" spans="1:11" x14ac:dyDescent="0.2">
      <c r="A1082" s="9">
        <v>1078</v>
      </c>
      <c r="B1082" s="5" t="s">
        <v>1077</v>
      </c>
      <c r="C1082" s="6">
        <v>36507</v>
      </c>
      <c r="D1082" s="6">
        <v>36674</v>
      </c>
      <c r="E1082" s="6">
        <v>36399</v>
      </c>
      <c r="F1082" s="6">
        <v>37425</v>
      </c>
      <c r="G1082" s="6">
        <v>37808</v>
      </c>
      <c r="H1082" s="6">
        <v>38373</v>
      </c>
      <c r="I1082" s="1" t="str">
        <f t="shared" si="32"/>
        <v xml:space="preserve"> Wisconsin</v>
      </c>
      <c r="J1082" s="1" t="str">
        <f t="shared" si="33"/>
        <v>Oak Creek city</v>
      </c>
      <c r="K1082" s="1">
        <f>IF(COUNTIF($I$5:I1082,I1082)=1,1,0)</f>
        <v>0</v>
      </c>
    </row>
    <row r="1083" spans="1:11" x14ac:dyDescent="0.2">
      <c r="A1083" s="9">
        <v>1079</v>
      </c>
      <c r="B1083" s="5" t="s">
        <v>1078</v>
      </c>
      <c r="C1083" s="6">
        <v>39597</v>
      </c>
      <c r="D1083" s="6">
        <v>39450</v>
      </c>
      <c r="E1083" s="6">
        <v>38733</v>
      </c>
      <c r="F1083" s="6">
        <v>38228</v>
      </c>
      <c r="G1083" s="6">
        <v>38108</v>
      </c>
      <c r="H1083" s="6">
        <v>38360</v>
      </c>
      <c r="I1083" s="1" t="str">
        <f t="shared" si="32"/>
        <v xml:space="preserve"> Illinois</v>
      </c>
      <c r="J1083" s="1" t="str">
        <f t="shared" si="33"/>
        <v>Streamwood village</v>
      </c>
      <c r="K1083" s="1">
        <f>IF(COUNTIF($I$5:I1083,I1083)=1,1,0)</f>
        <v>0</v>
      </c>
    </row>
    <row r="1084" spans="1:11" x14ac:dyDescent="0.2">
      <c r="A1084" s="9">
        <v>1080</v>
      </c>
      <c r="B1084" s="5" t="s">
        <v>1079</v>
      </c>
      <c r="C1084" s="6">
        <v>37281</v>
      </c>
      <c r="D1084" s="6">
        <v>37390</v>
      </c>
      <c r="E1084" s="6">
        <v>37570</v>
      </c>
      <c r="F1084" s="6">
        <v>37836</v>
      </c>
      <c r="G1084" s="6">
        <v>38169</v>
      </c>
      <c r="H1084" s="6">
        <v>38355</v>
      </c>
      <c r="I1084" s="1" t="str">
        <f t="shared" si="32"/>
        <v xml:space="preserve"> Oklahoma</v>
      </c>
      <c r="J1084" s="1" t="str">
        <f t="shared" si="33"/>
        <v>Bartlesville city</v>
      </c>
      <c r="K1084" s="1">
        <f>IF(COUNTIF($I$5:I1084,I1084)=1,1,0)</f>
        <v>0</v>
      </c>
    </row>
    <row r="1085" spans="1:11" x14ac:dyDescent="0.2">
      <c r="A1085" s="9">
        <v>1081</v>
      </c>
      <c r="B1085" s="5" t="s">
        <v>1080</v>
      </c>
      <c r="C1085" s="6">
        <v>39186</v>
      </c>
      <c r="D1085" s="6">
        <v>39223</v>
      </c>
      <c r="E1085" s="6">
        <v>38520</v>
      </c>
      <c r="F1085" s="6">
        <v>38029</v>
      </c>
      <c r="G1085" s="6">
        <v>38061</v>
      </c>
      <c r="H1085" s="6">
        <v>38329</v>
      </c>
      <c r="I1085" s="1" t="str">
        <f t="shared" si="32"/>
        <v xml:space="preserve"> Illinois</v>
      </c>
      <c r="J1085" s="1" t="str">
        <f t="shared" si="33"/>
        <v>Wheeling village</v>
      </c>
      <c r="K1085" s="1">
        <f>IF(COUNTIF($I$5:I1085,I1085)=1,1,0)</f>
        <v>0</v>
      </c>
    </row>
    <row r="1086" spans="1:11" x14ac:dyDescent="0.2">
      <c r="A1086" s="9">
        <v>1082</v>
      </c>
      <c r="B1086" s="5" t="s">
        <v>1081</v>
      </c>
      <c r="C1086" s="6">
        <v>37585</v>
      </c>
      <c r="D1086" s="6">
        <v>37774</v>
      </c>
      <c r="E1086" s="6">
        <v>37648</v>
      </c>
      <c r="F1086" s="6">
        <v>37327</v>
      </c>
      <c r="G1086" s="6">
        <v>37707</v>
      </c>
      <c r="H1086" s="6">
        <v>38327</v>
      </c>
      <c r="I1086" s="1" t="str">
        <f t="shared" si="32"/>
        <v xml:space="preserve"> Oregon</v>
      </c>
      <c r="J1086" s="1" t="str">
        <f t="shared" si="33"/>
        <v>Oregon City city</v>
      </c>
      <c r="K1086" s="1">
        <f>IF(COUNTIF($I$5:I1086,I1086)=1,1,0)</f>
        <v>0</v>
      </c>
    </row>
    <row r="1087" spans="1:11" x14ac:dyDescent="0.2">
      <c r="A1087" s="9">
        <v>1083</v>
      </c>
      <c r="B1087" s="5" t="s">
        <v>1082</v>
      </c>
      <c r="C1087" s="6">
        <v>37819</v>
      </c>
      <c r="D1087" s="6">
        <v>37869</v>
      </c>
      <c r="E1087" s="6">
        <v>37969</v>
      </c>
      <c r="F1087" s="6">
        <v>38025</v>
      </c>
      <c r="G1087" s="6">
        <v>38172</v>
      </c>
      <c r="H1087" s="6">
        <v>38294</v>
      </c>
      <c r="I1087" s="1" t="str">
        <f t="shared" si="32"/>
        <v xml:space="preserve"> Washington</v>
      </c>
      <c r="J1087" s="1" t="str">
        <f t="shared" si="33"/>
        <v>Longview city</v>
      </c>
      <c r="K1087" s="1">
        <f>IF(COUNTIF($I$5:I1087,I1087)=1,1,0)</f>
        <v>0</v>
      </c>
    </row>
    <row r="1088" spans="1:11" x14ac:dyDescent="0.2">
      <c r="A1088" s="9">
        <v>1084</v>
      </c>
      <c r="B1088" s="5" t="s">
        <v>1083</v>
      </c>
      <c r="C1088" s="6">
        <v>38111</v>
      </c>
      <c r="D1088" s="6">
        <v>38040</v>
      </c>
      <c r="E1088" s="6">
        <v>37428</v>
      </c>
      <c r="F1088" s="6">
        <v>38150</v>
      </c>
      <c r="G1088" s="6">
        <v>38329</v>
      </c>
      <c r="H1088" s="6">
        <v>38287</v>
      </c>
      <c r="I1088" s="1" t="str">
        <f t="shared" si="32"/>
        <v xml:space="preserve"> Colorado</v>
      </c>
      <c r="J1088" s="1" t="str">
        <f t="shared" si="33"/>
        <v>Northglenn city</v>
      </c>
      <c r="K1088" s="1">
        <f>IF(COUNTIF($I$5:I1088,I1088)=1,1,0)</f>
        <v>0</v>
      </c>
    </row>
    <row r="1089" spans="1:11" x14ac:dyDescent="0.2">
      <c r="A1089" s="9">
        <v>1085</v>
      </c>
      <c r="B1089" s="5" t="s">
        <v>1084</v>
      </c>
      <c r="C1089" s="6">
        <v>38362</v>
      </c>
      <c r="D1089" s="6">
        <v>38400</v>
      </c>
      <c r="E1089" s="6">
        <v>38225</v>
      </c>
      <c r="F1089" s="6">
        <v>38459</v>
      </c>
      <c r="G1089" s="6">
        <v>38284</v>
      </c>
      <c r="H1089" s="6">
        <v>38270</v>
      </c>
      <c r="I1089" s="1" t="str">
        <f t="shared" si="32"/>
        <v xml:space="preserve"> Georgia</v>
      </c>
      <c r="J1089" s="1" t="str">
        <f t="shared" si="33"/>
        <v>East Point city</v>
      </c>
      <c r="K1089" s="1">
        <f>IF(COUNTIF($I$5:I1089,I1089)=1,1,0)</f>
        <v>0</v>
      </c>
    </row>
    <row r="1090" spans="1:11" x14ac:dyDescent="0.2">
      <c r="A1090" s="9">
        <v>1086</v>
      </c>
      <c r="B1090" s="5" t="s">
        <v>1085</v>
      </c>
      <c r="C1090" s="6">
        <v>37662</v>
      </c>
      <c r="D1090" s="6">
        <v>37586</v>
      </c>
      <c r="E1090" s="6">
        <v>37662</v>
      </c>
      <c r="F1090" s="6">
        <v>38035</v>
      </c>
      <c r="G1090" s="6">
        <v>38163</v>
      </c>
      <c r="H1090" s="6">
        <v>38158</v>
      </c>
      <c r="I1090" s="1" t="str">
        <f t="shared" si="32"/>
        <v xml:space="preserve"> South Carolina</v>
      </c>
      <c r="J1090" s="1" t="str">
        <f t="shared" si="33"/>
        <v>Hilton Head Island town</v>
      </c>
      <c r="K1090" s="1">
        <f>IF(COUNTIF($I$5:I1090,I1090)=1,1,0)</f>
        <v>0</v>
      </c>
    </row>
    <row r="1091" spans="1:11" x14ac:dyDescent="0.2">
      <c r="A1091" s="9">
        <v>1087</v>
      </c>
      <c r="B1091" s="5" t="s">
        <v>1086</v>
      </c>
      <c r="C1091" s="6">
        <v>39160</v>
      </c>
      <c r="D1091" s="6">
        <v>39116</v>
      </c>
      <c r="E1091" s="6">
        <v>38790</v>
      </c>
      <c r="F1091" s="6">
        <v>38279</v>
      </c>
      <c r="G1091" s="6">
        <v>38099</v>
      </c>
      <c r="H1091" s="6">
        <v>38151</v>
      </c>
      <c r="I1091" s="1" t="str">
        <f t="shared" si="32"/>
        <v xml:space="preserve"> Alabama</v>
      </c>
      <c r="J1091" s="1" t="str">
        <f t="shared" si="33"/>
        <v>Vestavia Hills city</v>
      </c>
      <c r="K1091" s="1">
        <f>IF(COUNTIF($I$5:I1091,I1091)=1,1,0)</f>
        <v>0</v>
      </c>
    </row>
    <row r="1092" spans="1:11" x14ac:dyDescent="0.2">
      <c r="A1092" s="9">
        <v>1088</v>
      </c>
      <c r="B1092" s="5" t="s">
        <v>1087</v>
      </c>
      <c r="C1092" s="6">
        <v>31287</v>
      </c>
      <c r="D1092" s="6">
        <v>31460</v>
      </c>
      <c r="E1092" s="6">
        <v>32146</v>
      </c>
      <c r="F1092" s="6">
        <v>33860</v>
      </c>
      <c r="G1092" s="6">
        <v>36219</v>
      </c>
      <c r="H1092" s="6">
        <v>38131</v>
      </c>
      <c r="I1092" s="1" t="str">
        <f t="shared" si="32"/>
        <v xml:space="preserve"> Texas</v>
      </c>
      <c r="J1092" s="1" t="str">
        <f t="shared" si="33"/>
        <v>Cleburne city</v>
      </c>
      <c r="K1092" s="1">
        <f>IF(COUNTIF($I$5:I1092,I1092)=1,1,0)</f>
        <v>0</v>
      </c>
    </row>
    <row r="1093" spans="1:11" x14ac:dyDescent="0.2">
      <c r="A1093" s="9">
        <v>1089</v>
      </c>
      <c r="B1093" s="5" t="s">
        <v>1088</v>
      </c>
      <c r="C1093" s="6">
        <v>37715</v>
      </c>
      <c r="D1093" s="6">
        <v>37731</v>
      </c>
      <c r="E1093" s="6">
        <v>37954</v>
      </c>
      <c r="F1093" s="6">
        <v>37771</v>
      </c>
      <c r="G1093" s="6">
        <v>37630</v>
      </c>
      <c r="H1093" s="6">
        <v>38127</v>
      </c>
      <c r="I1093" s="1" t="str">
        <f t="shared" si="32"/>
        <v xml:space="preserve"> Utah</v>
      </c>
      <c r="J1093" s="1" t="str">
        <f t="shared" si="33"/>
        <v>Pleasant Grove city</v>
      </c>
      <c r="K1093" s="1">
        <f>IF(COUNTIF($I$5:I1093,I1093)=1,1,0)</f>
        <v>0</v>
      </c>
    </row>
    <row r="1094" spans="1:11" x14ac:dyDescent="0.2">
      <c r="A1094" s="9">
        <v>1090</v>
      </c>
      <c r="B1094" s="5" t="s">
        <v>1089</v>
      </c>
      <c r="C1094" s="6">
        <v>35020</v>
      </c>
      <c r="D1094" s="6">
        <v>35121</v>
      </c>
      <c r="E1094" s="6">
        <v>35688</v>
      </c>
      <c r="F1094" s="6">
        <v>36589</v>
      </c>
      <c r="G1094" s="6">
        <v>37540</v>
      </c>
      <c r="H1094" s="6">
        <v>38088</v>
      </c>
      <c r="I1094" s="1" t="str">
        <f t="shared" ref="I1094:I1157" si="34">_xlfn.TEXTAFTER(B1094,",")</f>
        <v xml:space="preserve"> Arkansas</v>
      </c>
      <c r="J1094" s="1" t="str">
        <f t="shared" ref="J1094:J1157" si="35">_xlfn.TEXTBEFORE(B1094,", ")</f>
        <v>Benton city</v>
      </c>
      <c r="K1094" s="1">
        <f>IF(COUNTIF($I$5:I1094,I1094)=1,1,0)</f>
        <v>0</v>
      </c>
    </row>
    <row r="1095" spans="1:11" x14ac:dyDescent="0.2">
      <c r="A1095" s="9">
        <v>1091</v>
      </c>
      <c r="B1095" s="5" t="s">
        <v>1090</v>
      </c>
      <c r="C1095" s="6">
        <v>32946</v>
      </c>
      <c r="D1095" s="6">
        <v>33393</v>
      </c>
      <c r="E1095" s="6">
        <v>34620</v>
      </c>
      <c r="F1095" s="6">
        <v>35788</v>
      </c>
      <c r="G1095" s="6">
        <v>36845</v>
      </c>
      <c r="H1095" s="6">
        <v>38049</v>
      </c>
      <c r="I1095" s="1" t="str">
        <f t="shared" si="34"/>
        <v xml:space="preserve"> Georgia</v>
      </c>
      <c r="J1095" s="1" t="str">
        <f t="shared" si="35"/>
        <v>Canton city</v>
      </c>
      <c r="K1095" s="1">
        <f>IF(COUNTIF($I$5:I1095,I1095)=1,1,0)</f>
        <v>0</v>
      </c>
    </row>
    <row r="1096" spans="1:11" x14ac:dyDescent="0.2">
      <c r="A1096" s="9">
        <v>1092</v>
      </c>
      <c r="B1096" s="5" t="s">
        <v>1091</v>
      </c>
      <c r="C1096" s="6">
        <v>35128</v>
      </c>
      <c r="D1096" s="6">
        <v>35304</v>
      </c>
      <c r="E1096" s="6">
        <v>36064</v>
      </c>
      <c r="F1096" s="6">
        <v>36760</v>
      </c>
      <c r="G1096" s="6">
        <v>37490</v>
      </c>
      <c r="H1096" s="6">
        <v>38046</v>
      </c>
      <c r="I1096" s="1" t="str">
        <f t="shared" si="34"/>
        <v xml:space="preserve"> Texas</v>
      </c>
      <c r="J1096" s="1" t="str">
        <f t="shared" si="35"/>
        <v>La Porte city</v>
      </c>
      <c r="K1096" s="1">
        <f>IF(COUNTIF($I$5:I1096,I1096)=1,1,0)</f>
        <v>0</v>
      </c>
    </row>
    <row r="1097" spans="1:11" x14ac:dyDescent="0.2">
      <c r="A1097" s="9">
        <v>1093</v>
      </c>
      <c r="B1097" s="5" t="s">
        <v>1092</v>
      </c>
      <c r="C1097" s="6">
        <v>37898</v>
      </c>
      <c r="D1097" s="6">
        <v>37937</v>
      </c>
      <c r="E1097" s="6">
        <v>37877</v>
      </c>
      <c r="F1097" s="6">
        <v>37931</v>
      </c>
      <c r="G1097" s="6">
        <v>37906</v>
      </c>
      <c r="H1097" s="6">
        <v>37971</v>
      </c>
      <c r="I1097" s="1" t="str">
        <f t="shared" si="34"/>
        <v xml:space="preserve"> Arkansas</v>
      </c>
      <c r="J1097" s="1" t="str">
        <f t="shared" si="35"/>
        <v>Hot Springs city</v>
      </c>
      <c r="K1097" s="1">
        <f>IF(COUNTIF($I$5:I1097,I1097)=1,1,0)</f>
        <v>0</v>
      </c>
    </row>
    <row r="1098" spans="1:11" x14ac:dyDescent="0.2">
      <c r="A1098" s="9">
        <v>1094</v>
      </c>
      <c r="B1098" s="5" t="s">
        <v>1093</v>
      </c>
      <c r="C1098" s="6">
        <v>38035</v>
      </c>
      <c r="D1098" s="6">
        <v>38110</v>
      </c>
      <c r="E1098" s="6">
        <v>38216</v>
      </c>
      <c r="F1098" s="6">
        <v>37367</v>
      </c>
      <c r="G1098" s="6">
        <v>38171</v>
      </c>
      <c r="H1098" s="6">
        <v>37941</v>
      </c>
      <c r="I1098" s="1" t="str">
        <f t="shared" si="34"/>
        <v xml:space="preserve"> California</v>
      </c>
      <c r="J1098" s="1" t="str">
        <f t="shared" si="35"/>
        <v>Adelanto city</v>
      </c>
      <c r="K1098" s="1">
        <f>IF(COUNTIF($I$5:I1098,I1098)=1,1,0)</f>
        <v>0</v>
      </c>
    </row>
    <row r="1099" spans="1:11" x14ac:dyDescent="0.2">
      <c r="A1099" s="9">
        <v>1095</v>
      </c>
      <c r="B1099" s="5" t="s">
        <v>1094</v>
      </c>
      <c r="C1099" s="6">
        <v>39578</v>
      </c>
      <c r="D1099" s="6">
        <v>39470</v>
      </c>
      <c r="E1099" s="6">
        <v>38589</v>
      </c>
      <c r="F1099" s="6">
        <v>38134</v>
      </c>
      <c r="G1099" s="6">
        <v>37939</v>
      </c>
      <c r="H1099" s="6">
        <v>37926</v>
      </c>
      <c r="I1099" s="1" t="str">
        <f t="shared" si="34"/>
        <v xml:space="preserve"> California</v>
      </c>
      <c r="J1099" s="1" t="str">
        <f t="shared" si="35"/>
        <v>San Gabriel city</v>
      </c>
      <c r="K1099" s="1">
        <f>IF(COUNTIF($I$5:I1099,I1099)=1,1,0)</f>
        <v>0</v>
      </c>
    </row>
    <row r="1100" spans="1:11" x14ac:dyDescent="0.2">
      <c r="A1100" s="9">
        <v>1096</v>
      </c>
      <c r="B1100" s="5" t="s">
        <v>1095</v>
      </c>
      <c r="C1100" s="6">
        <v>38248</v>
      </c>
      <c r="D1100" s="6">
        <v>38139</v>
      </c>
      <c r="E1100" s="6">
        <v>37716</v>
      </c>
      <c r="F1100" s="6">
        <v>37676</v>
      </c>
      <c r="G1100" s="6">
        <v>37673</v>
      </c>
      <c r="H1100" s="6">
        <v>37838</v>
      </c>
      <c r="I1100" s="1" t="str">
        <f t="shared" si="34"/>
        <v xml:space="preserve"> Massachusetts</v>
      </c>
      <c r="J1100" s="1" t="str">
        <f t="shared" si="35"/>
        <v>Holyoke city</v>
      </c>
      <c r="K1100" s="1">
        <f>IF(COUNTIF($I$5:I1100,I1100)=1,1,0)</f>
        <v>0</v>
      </c>
    </row>
    <row r="1101" spans="1:11" x14ac:dyDescent="0.2">
      <c r="A1101" s="9">
        <v>1097</v>
      </c>
      <c r="B1101" s="5" t="s">
        <v>1096</v>
      </c>
      <c r="C1101" s="6">
        <v>32262</v>
      </c>
      <c r="D1101" s="6">
        <v>32813</v>
      </c>
      <c r="E1101" s="6">
        <v>33508</v>
      </c>
      <c r="F1101" s="6">
        <v>34832</v>
      </c>
      <c r="G1101" s="6">
        <v>36479</v>
      </c>
      <c r="H1101" s="6">
        <v>37816</v>
      </c>
      <c r="I1101" s="1" t="str">
        <f t="shared" si="34"/>
        <v xml:space="preserve"> Texas</v>
      </c>
      <c r="J1101" s="1" t="str">
        <f t="shared" si="35"/>
        <v>Cibolo city</v>
      </c>
      <c r="K1101" s="1">
        <f>IF(COUNTIF($I$5:I1101,I1101)=1,1,0)</f>
        <v>0</v>
      </c>
    </row>
    <row r="1102" spans="1:11" x14ac:dyDescent="0.2">
      <c r="A1102" s="9">
        <v>1098</v>
      </c>
      <c r="B1102" s="5" t="s">
        <v>1097</v>
      </c>
      <c r="C1102" s="6">
        <v>27011</v>
      </c>
      <c r="D1102" s="6">
        <v>27127</v>
      </c>
      <c r="E1102" s="6">
        <v>27941</v>
      </c>
      <c r="F1102" s="6">
        <v>29257</v>
      </c>
      <c r="G1102" s="6">
        <v>31913</v>
      </c>
      <c r="H1102" s="6">
        <v>37815</v>
      </c>
      <c r="I1102" s="1" t="str">
        <f t="shared" si="34"/>
        <v xml:space="preserve"> Florida</v>
      </c>
      <c r="J1102" s="1" t="str">
        <f t="shared" si="35"/>
        <v>Leesburg city</v>
      </c>
      <c r="K1102" s="1">
        <f>IF(COUNTIF($I$5:I1102,I1102)=1,1,0)</f>
        <v>0</v>
      </c>
    </row>
    <row r="1103" spans="1:11" x14ac:dyDescent="0.2">
      <c r="A1103" s="9">
        <v>1099</v>
      </c>
      <c r="B1103" s="5" t="s">
        <v>1098</v>
      </c>
      <c r="C1103" s="6">
        <v>34649</v>
      </c>
      <c r="D1103" s="6">
        <v>34899</v>
      </c>
      <c r="E1103" s="6">
        <v>35558</v>
      </c>
      <c r="F1103" s="6">
        <v>36239</v>
      </c>
      <c r="G1103" s="6">
        <v>37167</v>
      </c>
      <c r="H1103" s="6">
        <v>37796</v>
      </c>
      <c r="I1103" s="1" t="str">
        <f t="shared" si="34"/>
        <v xml:space="preserve"> Indiana</v>
      </c>
      <c r="J1103" s="1" t="str">
        <f t="shared" si="35"/>
        <v>Plainfield town</v>
      </c>
      <c r="K1103" s="1">
        <f>IF(COUNTIF($I$5:I1103,I1103)=1,1,0)</f>
        <v>0</v>
      </c>
    </row>
    <row r="1104" spans="1:11" x14ac:dyDescent="0.2">
      <c r="A1104" s="9">
        <v>1100</v>
      </c>
      <c r="B1104" s="5" t="s">
        <v>1099</v>
      </c>
      <c r="C1104" s="6">
        <v>37934</v>
      </c>
      <c r="D1104" s="6">
        <v>38000</v>
      </c>
      <c r="E1104" s="6">
        <v>37619</v>
      </c>
      <c r="F1104" s="6">
        <v>37223</v>
      </c>
      <c r="G1104" s="6">
        <v>37288</v>
      </c>
      <c r="H1104" s="6">
        <v>37787</v>
      </c>
      <c r="I1104" s="1" t="str">
        <f t="shared" si="34"/>
        <v xml:space="preserve"> California</v>
      </c>
      <c r="J1104" s="1" t="str">
        <f t="shared" si="35"/>
        <v>Monrovia city</v>
      </c>
      <c r="K1104" s="1">
        <f>IF(COUNTIF($I$5:I1104,I1104)=1,1,0)</f>
        <v>0</v>
      </c>
    </row>
    <row r="1105" spans="1:11" x14ac:dyDescent="0.2">
      <c r="A1105" s="9">
        <v>1101</v>
      </c>
      <c r="B1105" s="5" t="s">
        <v>1100</v>
      </c>
      <c r="C1105" s="6">
        <v>37919</v>
      </c>
      <c r="D1105" s="6">
        <v>37918</v>
      </c>
      <c r="E1105" s="6">
        <v>37798</v>
      </c>
      <c r="F1105" s="6">
        <v>37735</v>
      </c>
      <c r="G1105" s="6">
        <v>37717</v>
      </c>
      <c r="H1105" s="6">
        <v>37775</v>
      </c>
      <c r="I1105" s="1" t="str">
        <f t="shared" si="34"/>
        <v xml:space="preserve"> Mississippi</v>
      </c>
      <c r="J1105" s="1" t="str">
        <f t="shared" si="35"/>
        <v>Tupelo city</v>
      </c>
      <c r="K1105" s="1">
        <f>IF(COUNTIF($I$5:I1105,I1105)=1,1,0)</f>
        <v>0</v>
      </c>
    </row>
    <row r="1106" spans="1:11" x14ac:dyDescent="0.2">
      <c r="A1106" s="9">
        <v>1102</v>
      </c>
      <c r="B1106" s="5" t="s">
        <v>1101</v>
      </c>
      <c r="C1106" s="6">
        <v>33236</v>
      </c>
      <c r="D1106" s="6">
        <v>33371</v>
      </c>
      <c r="E1106" s="6">
        <v>33345</v>
      </c>
      <c r="F1106" s="6">
        <v>33659</v>
      </c>
      <c r="G1106" s="6">
        <v>34891</v>
      </c>
      <c r="H1106" s="6">
        <v>37740</v>
      </c>
      <c r="I1106" s="1" t="str">
        <f t="shared" si="34"/>
        <v xml:space="preserve"> Georgia</v>
      </c>
      <c r="J1106" s="1" t="str">
        <f t="shared" si="35"/>
        <v>Kennesaw city</v>
      </c>
      <c r="K1106" s="1">
        <f>IF(COUNTIF($I$5:I1106,I1106)=1,1,0)</f>
        <v>0</v>
      </c>
    </row>
    <row r="1107" spans="1:11" x14ac:dyDescent="0.2">
      <c r="A1107" s="9">
        <v>1103</v>
      </c>
      <c r="B1107" s="5" t="s">
        <v>1102</v>
      </c>
      <c r="C1107" s="6">
        <v>36889</v>
      </c>
      <c r="D1107" s="6">
        <v>36926</v>
      </c>
      <c r="E1107" s="6">
        <v>37161</v>
      </c>
      <c r="F1107" s="6">
        <v>37139</v>
      </c>
      <c r="G1107" s="6">
        <v>37337</v>
      </c>
      <c r="H1107" s="6">
        <v>37736</v>
      </c>
      <c r="I1107" s="1" t="str">
        <f t="shared" si="34"/>
        <v xml:space="preserve"> California</v>
      </c>
      <c r="J1107" s="1" t="str">
        <f t="shared" si="35"/>
        <v>Wildomar city</v>
      </c>
      <c r="K1107" s="1">
        <f>IF(COUNTIF($I$5:I1107,I1107)=1,1,0)</f>
        <v>0</v>
      </c>
    </row>
    <row r="1108" spans="1:11" x14ac:dyDescent="0.2">
      <c r="A1108" s="9">
        <v>1104</v>
      </c>
      <c r="B1108" s="5" t="s">
        <v>1103</v>
      </c>
      <c r="C1108" s="6">
        <v>37819</v>
      </c>
      <c r="D1108" s="6">
        <v>37797</v>
      </c>
      <c r="E1108" s="6">
        <v>37612</v>
      </c>
      <c r="F1108" s="6">
        <v>37471</v>
      </c>
      <c r="G1108" s="6">
        <v>37357</v>
      </c>
      <c r="H1108" s="6">
        <v>37652</v>
      </c>
      <c r="I1108" s="1" t="str">
        <f t="shared" si="34"/>
        <v xml:space="preserve"> Indiana</v>
      </c>
      <c r="J1108" s="1" t="str">
        <f t="shared" si="35"/>
        <v>New Albany city</v>
      </c>
      <c r="K1108" s="1">
        <f>IF(COUNTIF($I$5:I1108,I1108)=1,1,0)</f>
        <v>0</v>
      </c>
    </row>
    <row r="1109" spans="1:11" x14ac:dyDescent="0.2">
      <c r="A1109" s="9">
        <v>1105</v>
      </c>
      <c r="B1109" s="5" t="s">
        <v>1104</v>
      </c>
      <c r="C1109" s="6">
        <v>37890</v>
      </c>
      <c r="D1109" s="6">
        <v>37946</v>
      </c>
      <c r="E1109" s="6">
        <v>37970</v>
      </c>
      <c r="F1109" s="6">
        <v>37780</v>
      </c>
      <c r="G1109" s="6">
        <v>37646</v>
      </c>
      <c r="H1109" s="6">
        <v>37650</v>
      </c>
      <c r="I1109" s="1" t="str">
        <f t="shared" si="34"/>
        <v xml:space="preserve"> California</v>
      </c>
      <c r="J1109" s="1" t="str">
        <f t="shared" si="35"/>
        <v>Montclair city</v>
      </c>
      <c r="K1109" s="1">
        <f>IF(COUNTIF($I$5:I1109,I1109)=1,1,0)</f>
        <v>0</v>
      </c>
    </row>
    <row r="1110" spans="1:11" x14ac:dyDescent="0.2">
      <c r="A1110" s="9">
        <v>1106</v>
      </c>
      <c r="B1110" s="5" t="s">
        <v>1105</v>
      </c>
      <c r="C1110" s="6">
        <v>33288</v>
      </c>
      <c r="D1110" s="6">
        <v>33774</v>
      </c>
      <c r="E1110" s="6">
        <v>35627</v>
      </c>
      <c r="F1110" s="6">
        <v>36391</v>
      </c>
      <c r="G1110" s="6">
        <v>37068</v>
      </c>
      <c r="H1110" s="6">
        <v>37626</v>
      </c>
      <c r="I1110" s="1" t="str">
        <f t="shared" si="34"/>
        <v xml:space="preserve"> Oregon</v>
      </c>
      <c r="J1110" s="1" t="str">
        <f t="shared" si="35"/>
        <v>Redmond city</v>
      </c>
      <c r="K1110" s="1">
        <f>IF(COUNTIF($I$5:I1110,I1110)=1,1,0)</f>
        <v>0</v>
      </c>
    </row>
    <row r="1111" spans="1:11" x14ac:dyDescent="0.2">
      <c r="A1111" s="9">
        <v>1107</v>
      </c>
      <c r="B1111" s="5" t="s">
        <v>1106</v>
      </c>
      <c r="C1111" s="6">
        <v>39513</v>
      </c>
      <c r="D1111" s="6">
        <v>39383</v>
      </c>
      <c r="E1111" s="6">
        <v>38550</v>
      </c>
      <c r="F1111" s="6">
        <v>38008</v>
      </c>
      <c r="G1111" s="6">
        <v>37688</v>
      </c>
      <c r="H1111" s="6">
        <v>37565</v>
      </c>
      <c r="I1111" s="1" t="str">
        <f t="shared" si="34"/>
        <v xml:space="preserve"> California</v>
      </c>
      <c r="J1111" s="1" t="str">
        <f t="shared" si="35"/>
        <v>Bell Gardens city</v>
      </c>
      <c r="K1111" s="1">
        <f>IF(COUNTIF($I$5:I1111,I1111)=1,1,0)</f>
        <v>0</v>
      </c>
    </row>
    <row r="1112" spans="1:11" x14ac:dyDescent="0.2">
      <c r="A1112" s="9">
        <v>1108</v>
      </c>
      <c r="B1112" s="5" t="s">
        <v>1107</v>
      </c>
      <c r="C1112" s="6">
        <v>38553</v>
      </c>
      <c r="D1112" s="6">
        <v>38512</v>
      </c>
      <c r="E1112" s="6">
        <v>38191</v>
      </c>
      <c r="F1112" s="6">
        <v>37763</v>
      </c>
      <c r="G1112" s="6">
        <v>37687</v>
      </c>
      <c r="H1112" s="6">
        <v>37555</v>
      </c>
      <c r="I1112" s="1" t="str">
        <f t="shared" si="34"/>
        <v xml:space="preserve"> New Mexico</v>
      </c>
      <c r="J1112" s="1" t="str">
        <f t="shared" si="35"/>
        <v>Clovis city</v>
      </c>
      <c r="K1112" s="1">
        <f>IF(COUNTIF($I$5:I1112,I1112)=1,1,0)</f>
        <v>0</v>
      </c>
    </row>
    <row r="1113" spans="1:11" x14ac:dyDescent="0.2">
      <c r="A1113" s="9">
        <v>1109</v>
      </c>
      <c r="B1113" s="5" t="s">
        <v>1108</v>
      </c>
      <c r="C1113" s="6">
        <v>35281</v>
      </c>
      <c r="D1113" s="6">
        <v>35455</v>
      </c>
      <c r="E1113" s="6">
        <v>36189</v>
      </c>
      <c r="F1113" s="6">
        <v>36814</v>
      </c>
      <c r="G1113" s="6">
        <v>37113</v>
      </c>
      <c r="H1113" s="6">
        <v>37504</v>
      </c>
      <c r="I1113" s="1" t="str">
        <f t="shared" si="34"/>
        <v xml:space="preserve"> Ohio</v>
      </c>
      <c r="J1113" s="1" t="str">
        <f t="shared" si="35"/>
        <v>North Ridgeville city</v>
      </c>
      <c r="K1113" s="1">
        <f>IF(COUNTIF($I$5:I1113,I1113)=1,1,0)</f>
        <v>0</v>
      </c>
    </row>
    <row r="1114" spans="1:11" x14ac:dyDescent="0.2">
      <c r="A1114" s="9">
        <v>1110</v>
      </c>
      <c r="B1114" s="5" t="s">
        <v>1109</v>
      </c>
      <c r="C1114" s="6">
        <v>34100</v>
      </c>
      <c r="D1114" s="6">
        <v>34356</v>
      </c>
      <c r="E1114" s="6">
        <v>35243</v>
      </c>
      <c r="F1114" s="6">
        <v>35703</v>
      </c>
      <c r="G1114" s="6">
        <v>36538</v>
      </c>
      <c r="H1114" s="6">
        <v>37448</v>
      </c>
      <c r="I1114" s="1" t="str">
        <f t="shared" si="34"/>
        <v xml:space="preserve"> Arizona</v>
      </c>
      <c r="J1114" s="1" t="str">
        <f t="shared" si="35"/>
        <v>Sahuarita town</v>
      </c>
      <c r="K1114" s="1">
        <f>IF(COUNTIF($I$5:I1114,I1114)=1,1,0)</f>
        <v>0</v>
      </c>
    </row>
    <row r="1115" spans="1:11" x14ac:dyDescent="0.2">
      <c r="A1115" s="9">
        <v>1111</v>
      </c>
      <c r="B1115" s="5" t="s">
        <v>1110</v>
      </c>
      <c r="C1115" s="6">
        <v>37350</v>
      </c>
      <c r="D1115" s="6">
        <v>37318</v>
      </c>
      <c r="E1115" s="6">
        <v>37194</v>
      </c>
      <c r="F1115" s="6">
        <v>37040</v>
      </c>
      <c r="G1115" s="6">
        <v>37133</v>
      </c>
      <c r="H1115" s="6">
        <v>37370</v>
      </c>
      <c r="I1115" s="1" t="str">
        <f t="shared" si="34"/>
        <v xml:space="preserve"> Kansas</v>
      </c>
      <c r="J1115" s="1" t="str">
        <f t="shared" si="35"/>
        <v>Leavenworth city</v>
      </c>
      <c r="K1115" s="1">
        <f>IF(COUNTIF($I$5:I1115,I1115)=1,1,0)</f>
        <v>0</v>
      </c>
    </row>
    <row r="1116" spans="1:11" x14ac:dyDescent="0.2">
      <c r="A1116" s="9">
        <v>1112</v>
      </c>
      <c r="B1116" s="5" t="s">
        <v>1111</v>
      </c>
      <c r="C1116" s="6">
        <v>35572</v>
      </c>
      <c r="D1116" s="6">
        <v>36221</v>
      </c>
      <c r="E1116" s="6">
        <v>36021</v>
      </c>
      <c r="F1116" s="6">
        <v>36362</v>
      </c>
      <c r="G1116" s="6">
        <v>37331</v>
      </c>
      <c r="H1116" s="6">
        <v>37341</v>
      </c>
      <c r="I1116" s="1" t="str">
        <f t="shared" si="34"/>
        <v xml:space="preserve"> Texas</v>
      </c>
      <c r="J1116" s="1" t="str">
        <f t="shared" si="35"/>
        <v>Farmers Branch city</v>
      </c>
      <c r="K1116" s="1">
        <f>IF(COUNTIF($I$5:I1116,I1116)=1,1,0)</f>
        <v>0</v>
      </c>
    </row>
    <row r="1117" spans="1:11" x14ac:dyDescent="0.2">
      <c r="A1117" s="9">
        <v>1112</v>
      </c>
      <c r="B1117" s="5" t="s">
        <v>1112</v>
      </c>
      <c r="C1117" s="6">
        <v>35325</v>
      </c>
      <c r="D1117" s="6">
        <v>35369</v>
      </c>
      <c r="E1117" s="6">
        <v>35542</v>
      </c>
      <c r="F1117" s="6">
        <v>35866</v>
      </c>
      <c r="G1117" s="6">
        <v>36638</v>
      </c>
      <c r="H1117" s="6">
        <v>37341</v>
      </c>
      <c r="I1117" s="1" t="str">
        <f t="shared" si="34"/>
        <v xml:space="preserve"> Texas</v>
      </c>
      <c r="J1117" s="1" t="str">
        <f t="shared" si="35"/>
        <v>San Juan city</v>
      </c>
      <c r="K1117" s="1">
        <f>IF(COUNTIF($I$5:I1117,I1117)=1,1,0)</f>
        <v>0</v>
      </c>
    </row>
    <row r="1118" spans="1:11" x14ac:dyDescent="0.2">
      <c r="A1118" s="9">
        <v>1114</v>
      </c>
      <c r="B1118" s="5" t="s">
        <v>1113</v>
      </c>
      <c r="C1118" s="6">
        <v>35960</v>
      </c>
      <c r="D1118" s="6">
        <v>36054</v>
      </c>
      <c r="E1118" s="6">
        <v>35693</v>
      </c>
      <c r="F1118" s="6">
        <v>36147</v>
      </c>
      <c r="G1118" s="6">
        <v>36774</v>
      </c>
      <c r="H1118" s="6">
        <v>37333</v>
      </c>
      <c r="I1118" s="1" t="str">
        <f t="shared" si="34"/>
        <v xml:space="preserve"> Florida</v>
      </c>
      <c r="J1118" s="1" t="str">
        <f t="shared" si="35"/>
        <v>Lauderdale Lakes city</v>
      </c>
      <c r="K1118" s="1">
        <f>IF(COUNTIF($I$5:I1118,I1118)=1,1,0)</f>
        <v>0</v>
      </c>
    </row>
    <row r="1119" spans="1:11" x14ac:dyDescent="0.2">
      <c r="A1119" s="9">
        <v>1115</v>
      </c>
      <c r="B1119" s="5" t="s">
        <v>1114</v>
      </c>
      <c r="C1119" s="6">
        <v>37228</v>
      </c>
      <c r="D1119" s="6">
        <v>37211</v>
      </c>
      <c r="E1119" s="6">
        <v>37252</v>
      </c>
      <c r="F1119" s="6">
        <v>37153</v>
      </c>
      <c r="G1119" s="6">
        <v>37168</v>
      </c>
      <c r="H1119" s="6">
        <v>37287</v>
      </c>
      <c r="I1119" s="1" t="str">
        <f t="shared" si="34"/>
        <v xml:space="preserve"> Michigan</v>
      </c>
      <c r="J1119" s="1" t="str">
        <f t="shared" si="35"/>
        <v>Muskegon city</v>
      </c>
      <c r="K1119" s="1">
        <f>IF(COUNTIF($I$5:I1119,I1119)=1,1,0)</f>
        <v>0</v>
      </c>
    </row>
    <row r="1120" spans="1:11" x14ac:dyDescent="0.2">
      <c r="A1120" s="9">
        <v>1116</v>
      </c>
      <c r="B1120" s="5" t="s">
        <v>1115</v>
      </c>
      <c r="C1120" s="6">
        <v>37788</v>
      </c>
      <c r="D1120" s="6">
        <v>37738</v>
      </c>
      <c r="E1120" s="6">
        <v>37328</v>
      </c>
      <c r="F1120" s="6">
        <v>37372</v>
      </c>
      <c r="G1120" s="6">
        <v>37189</v>
      </c>
      <c r="H1120" s="6">
        <v>37232</v>
      </c>
      <c r="I1120" s="1" t="str">
        <f t="shared" si="34"/>
        <v xml:space="preserve"> Wisconsin</v>
      </c>
      <c r="J1120" s="1" t="str">
        <f t="shared" si="35"/>
        <v>Greenfield city</v>
      </c>
      <c r="K1120" s="1">
        <f>IF(COUNTIF($I$5:I1120,I1120)=1,1,0)</f>
        <v>0</v>
      </c>
    </row>
    <row r="1121" spans="1:11" x14ac:dyDescent="0.2">
      <c r="A1121" s="9">
        <v>1117</v>
      </c>
      <c r="B1121" s="5" t="s">
        <v>1116</v>
      </c>
      <c r="C1121" s="6">
        <v>37119</v>
      </c>
      <c r="D1121" s="6">
        <v>37159</v>
      </c>
      <c r="E1121" s="6">
        <v>37036</v>
      </c>
      <c r="F1121" s="6">
        <v>37052</v>
      </c>
      <c r="G1121" s="6">
        <v>37209</v>
      </c>
      <c r="H1121" s="6">
        <v>37224</v>
      </c>
      <c r="I1121" s="1" t="str">
        <f t="shared" si="34"/>
        <v xml:space="preserve"> Georgia</v>
      </c>
      <c r="J1121" s="1" t="str">
        <f t="shared" si="35"/>
        <v>Tucker city</v>
      </c>
      <c r="K1121" s="1">
        <f>IF(COUNTIF($I$5:I1121,I1121)=1,1,0)</f>
        <v>0</v>
      </c>
    </row>
    <row r="1122" spans="1:11" x14ac:dyDescent="0.2">
      <c r="A1122" s="9">
        <v>1118</v>
      </c>
      <c r="B1122" s="5" t="s">
        <v>1117</v>
      </c>
      <c r="C1122" s="6">
        <v>37988</v>
      </c>
      <c r="D1122" s="6">
        <v>37911</v>
      </c>
      <c r="E1122" s="6">
        <v>37710</v>
      </c>
      <c r="F1122" s="6">
        <v>37356</v>
      </c>
      <c r="G1122" s="6">
        <v>37265</v>
      </c>
      <c r="H1122" s="6">
        <v>37144</v>
      </c>
      <c r="I1122" s="1" t="str">
        <f t="shared" si="34"/>
        <v xml:space="preserve"> Illinois</v>
      </c>
      <c r="J1122" s="1" t="str">
        <f t="shared" si="35"/>
        <v>Carpentersville village</v>
      </c>
      <c r="K1122" s="1">
        <f>IF(COUNTIF($I$5:I1122,I1122)=1,1,0)</f>
        <v>0</v>
      </c>
    </row>
    <row r="1123" spans="1:11" x14ac:dyDescent="0.2">
      <c r="A1123" s="9">
        <v>1119</v>
      </c>
      <c r="B1123" s="5" t="s">
        <v>1118</v>
      </c>
      <c r="C1123" s="6">
        <v>34825</v>
      </c>
      <c r="D1123" s="6">
        <v>34937</v>
      </c>
      <c r="E1123" s="6">
        <v>35538</v>
      </c>
      <c r="F1123" s="6">
        <v>36065</v>
      </c>
      <c r="G1123" s="6">
        <v>36706</v>
      </c>
      <c r="H1123" s="6">
        <v>37102</v>
      </c>
      <c r="I1123" s="1" t="str">
        <f t="shared" si="34"/>
        <v xml:space="preserve"> Tennessee</v>
      </c>
      <c r="J1123" s="1" t="str">
        <f t="shared" si="35"/>
        <v>Cookeville city</v>
      </c>
      <c r="K1123" s="1">
        <f>IF(COUNTIF($I$5:I1123,I1123)=1,1,0)</f>
        <v>0</v>
      </c>
    </row>
    <row r="1124" spans="1:11" x14ac:dyDescent="0.2">
      <c r="A1124" s="9">
        <v>1120</v>
      </c>
      <c r="B1124" s="5" t="s">
        <v>1119</v>
      </c>
      <c r="C1124" s="6">
        <v>38661</v>
      </c>
      <c r="D1124" s="6">
        <v>38541</v>
      </c>
      <c r="E1124" s="6">
        <v>37165</v>
      </c>
      <c r="F1124" s="6">
        <v>36727</v>
      </c>
      <c r="G1124" s="6">
        <v>36757</v>
      </c>
      <c r="H1124" s="6">
        <v>37056</v>
      </c>
      <c r="I1124" s="1" t="str">
        <f t="shared" si="34"/>
        <v xml:space="preserve"> California</v>
      </c>
      <c r="J1124" s="1" t="str">
        <f t="shared" si="35"/>
        <v>Pacifica city</v>
      </c>
      <c r="K1124" s="1">
        <f>IF(COUNTIF($I$5:I1124,I1124)=1,1,0)</f>
        <v>0</v>
      </c>
    </row>
    <row r="1125" spans="1:11" x14ac:dyDescent="0.2">
      <c r="A1125" s="9">
        <v>1121</v>
      </c>
      <c r="B1125" s="5" t="s">
        <v>1120</v>
      </c>
      <c r="C1125" s="6">
        <v>33047</v>
      </c>
      <c r="D1125" s="6">
        <v>32858</v>
      </c>
      <c r="E1125" s="6">
        <v>34178</v>
      </c>
      <c r="F1125" s="6">
        <v>34861</v>
      </c>
      <c r="G1125" s="6">
        <v>35969</v>
      </c>
      <c r="H1125" s="6">
        <v>37024</v>
      </c>
      <c r="I1125" s="1" t="str">
        <f t="shared" si="34"/>
        <v xml:space="preserve"> Florida</v>
      </c>
      <c r="J1125" s="1" t="str">
        <f t="shared" si="35"/>
        <v>Panama City city</v>
      </c>
      <c r="K1125" s="1">
        <f>IF(COUNTIF($I$5:I1125,I1125)=1,1,0)</f>
        <v>0</v>
      </c>
    </row>
    <row r="1126" spans="1:11" x14ac:dyDescent="0.2">
      <c r="A1126" s="9">
        <v>1122</v>
      </c>
      <c r="B1126" s="5" t="s">
        <v>1121</v>
      </c>
      <c r="C1126" s="6">
        <v>17065</v>
      </c>
      <c r="D1126" s="6">
        <v>17569</v>
      </c>
      <c r="E1126" s="6">
        <v>20134</v>
      </c>
      <c r="F1126" s="6">
        <v>23024</v>
      </c>
      <c r="G1126" s="6">
        <v>28336</v>
      </c>
      <c r="H1126" s="6">
        <v>37019</v>
      </c>
      <c r="I1126" s="1" t="str">
        <f t="shared" si="34"/>
        <v xml:space="preserve"> Texas</v>
      </c>
      <c r="J1126" s="1" t="str">
        <f t="shared" si="35"/>
        <v>Princeton city</v>
      </c>
      <c r="K1126" s="1">
        <f>IF(COUNTIF($I$5:I1126,I1126)=1,1,0)</f>
        <v>0</v>
      </c>
    </row>
    <row r="1127" spans="1:11" x14ac:dyDescent="0.2">
      <c r="A1127" s="9">
        <v>1123</v>
      </c>
      <c r="B1127" s="5" t="s">
        <v>1122</v>
      </c>
      <c r="C1127" s="6">
        <v>37268</v>
      </c>
      <c r="D1127" s="6">
        <v>37187</v>
      </c>
      <c r="E1127" s="6">
        <v>36943</v>
      </c>
      <c r="F1127" s="6">
        <v>36666</v>
      </c>
      <c r="G1127" s="6">
        <v>36712</v>
      </c>
      <c r="H1127" s="6">
        <v>37006</v>
      </c>
      <c r="I1127" s="1" t="str">
        <f t="shared" si="34"/>
        <v xml:space="preserve"> California</v>
      </c>
      <c r="J1127" s="1" t="str">
        <f t="shared" si="35"/>
        <v>Martinez city</v>
      </c>
      <c r="K1127" s="1">
        <f>IF(COUNTIF($I$5:I1127,I1127)=1,1,0)</f>
        <v>0</v>
      </c>
    </row>
    <row r="1128" spans="1:11" x14ac:dyDescent="0.2">
      <c r="A1128" s="9">
        <v>1124</v>
      </c>
      <c r="B1128" s="5" t="s">
        <v>1123</v>
      </c>
      <c r="C1128" s="6">
        <v>36444</v>
      </c>
      <c r="D1128" s="6">
        <v>36459</v>
      </c>
      <c r="E1128" s="6">
        <v>36422</v>
      </c>
      <c r="F1128" s="6">
        <v>36264</v>
      </c>
      <c r="G1128" s="6">
        <v>36347</v>
      </c>
      <c r="H1128" s="6">
        <v>36989</v>
      </c>
      <c r="I1128" s="1" t="str">
        <f t="shared" si="34"/>
        <v xml:space="preserve"> Indiana</v>
      </c>
      <c r="J1128" s="1" t="str">
        <f t="shared" si="35"/>
        <v>Merrillville town</v>
      </c>
      <c r="K1128" s="1">
        <f>IF(COUNTIF($I$5:I1128,I1128)=1,1,0)</f>
        <v>0</v>
      </c>
    </row>
    <row r="1129" spans="1:11" x14ac:dyDescent="0.2">
      <c r="A1129" s="9">
        <v>1125</v>
      </c>
      <c r="B1129" s="5" t="s">
        <v>1124</v>
      </c>
      <c r="C1129" s="6">
        <v>36846</v>
      </c>
      <c r="D1129" s="6">
        <v>36770</v>
      </c>
      <c r="E1129" s="6">
        <v>36725</v>
      </c>
      <c r="F1129" s="6">
        <v>36682</v>
      </c>
      <c r="G1129" s="6">
        <v>36844</v>
      </c>
      <c r="H1129" s="6">
        <v>36849</v>
      </c>
      <c r="I1129" s="1" t="str">
        <f t="shared" si="34"/>
        <v xml:space="preserve"> Oklahoma</v>
      </c>
      <c r="J1129" s="1" t="str">
        <f t="shared" si="35"/>
        <v>Muskogee city</v>
      </c>
      <c r="K1129" s="1">
        <f>IF(COUNTIF($I$5:I1129,I1129)=1,1,0)</f>
        <v>0</v>
      </c>
    </row>
    <row r="1130" spans="1:11" x14ac:dyDescent="0.2">
      <c r="A1130" s="9">
        <v>1126</v>
      </c>
      <c r="B1130" s="5" t="s">
        <v>1125</v>
      </c>
      <c r="C1130" s="6">
        <v>37463</v>
      </c>
      <c r="D1130" s="6">
        <v>37344</v>
      </c>
      <c r="E1130" s="6">
        <v>36830</v>
      </c>
      <c r="F1130" s="6">
        <v>36464</v>
      </c>
      <c r="G1130" s="6">
        <v>36444</v>
      </c>
      <c r="H1130" s="6">
        <v>36685</v>
      </c>
      <c r="I1130" s="1" t="str">
        <f t="shared" si="34"/>
        <v xml:space="preserve"> Illinois</v>
      </c>
      <c r="J1130" s="1" t="str">
        <f t="shared" si="35"/>
        <v>Hanover Park village</v>
      </c>
      <c r="K1130" s="1">
        <f>IF(COUNTIF($I$5:I1130,I1130)=1,1,0)</f>
        <v>0</v>
      </c>
    </row>
    <row r="1131" spans="1:11" x14ac:dyDescent="0.2">
      <c r="A1131" s="9">
        <v>1127</v>
      </c>
      <c r="B1131" s="5" t="s">
        <v>1126</v>
      </c>
      <c r="C1131" s="6">
        <v>38061</v>
      </c>
      <c r="D1131" s="6">
        <v>37938</v>
      </c>
      <c r="E1131" s="6">
        <v>37299</v>
      </c>
      <c r="F1131" s="6">
        <v>36989</v>
      </c>
      <c r="G1131" s="6">
        <v>36755</v>
      </c>
      <c r="H1131" s="6">
        <v>36670</v>
      </c>
      <c r="I1131" s="1" t="str">
        <f t="shared" si="34"/>
        <v xml:space="preserve"> California</v>
      </c>
      <c r="J1131" s="1" t="str">
        <f t="shared" si="35"/>
        <v>La Puente city</v>
      </c>
      <c r="K1131" s="1">
        <f>IF(COUNTIF($I$5:I1131,I1131)=1,1,0)</f>
        <v>0</v>
      </c>
    </row>
    <row r="1132" spans="1:11" x14ac:dyDescent="0.2">
      <c r="A1132" s="9">
        <v>1128</v>
      </c>
      <c r="B1132" s="5" t="s">
        <v>1127</v>
      </c>
      <c r="C1132" s="6">
        <v>36689</v>
      </c>
      <c r="D1132" s="6">
        <v>36721</v>
      </c>
      <c r="E1132" s="6">
        <v>36467</v>
      </c>
      <c r="F1132" s="6">
        <v>36460</v>
      </c>
      <c r="G1132" s="6">
        <v>36487</v>
      </c>
      <c r="H1132" s="6">
        <v>36633</v>
      </c>
      <c r="I1132" s="1" t="str">
        <f t="shared" si="34"/>
        <v xml:space="preserve"> Wisconsin</v>
      </c>
      <c r="J1132" s="1" t="str">
        <f t="shared" si="35"/>
        <v>Beloit city</v>
      </c>
      <c r="K1132" s="1">
        <f>IF(COUNTIF($I$5:I1132,I1132)=1,1,0)</f>
        <v>0</v>
      </c>
    </row>
    <row r="1133" spans="1:11" x14ac:dyDescent="0.2">
      <c r="A1133" s="9">
        <v>1129</v>
      </c>
      <c r="B1133" s="5" t="s">
        <v>1128</v>
      </c>
      <c r="C1133" s="6">
        <v>36142</v>
      </c>
      <c r="D1133" s="6">
        <v>36152</v>
      </c>
      <c r="E1133" s="6">
        <v>35561</v>
      </c>
      <c r="F1133" s="6">
        <v>35303</v>
      </c>
      <c r="G1133" s="6">
        <v>35751</v>
      </c>
      <c r="H1133" s="6">
        <v>36591</v>
      </c>
      <c r="I1133" s="1" t="str">
        <f t="shared" si="34"/>
        <v xml:space="preserve"> Wisconsin</v>
      </c>
      <c r="J1133" s="1" t="str">
        <f t="shared" si="35"/>
        <v>Franklin city</v>
      </c>
      <c r="K1133" s="1">
        <f>IF(COUNTIF($I$5:I1133,I1133)=1,1,0)</f>
        <v>0</v>
      </c>
    </row>
    <row r="1134" spans="1:11" x14ac:dyDescent="0.2">
      <c r="A1134" s="9">
        <v>1130</v>
      </c>
      <c r="B1134" s="5" t="s">
        <v>1129</v>
      </c>
      <c r="C1134" s="6">
        <v>34892</v>
      </c>
      <c r="D1134" s="6">
        <v>35073</v>
      </c>
      <c r="E1134" s="6">
        <v>34984</v>
      </c>
      <c r="F1134" s="6">
        <v>35494</v>
      </c>
      <c r="G1134" s="6">
        <v>36331</v>
      </c>
      <c r="H1134" s="6">
        <v>36583</v>
      </c>
      <c r="I1134" s="1" t="str">
        <f t="shared" si="34"/>
        <v xml:space="preserve"> Georgia</v>
      </c>
      <c r="J1134" s="1" t="str">
        <f t="shared" si="35"/>
        <v>Hinesville city</v>
      </c>
      <c r="K1134" s="1">
        <f>IF(COUNTIF($I$5:I1134,I1134)=1,1,0)</f>
        <v>0</v>
      </c>
    </row>
    <row r="1135" spans="1:11" x14ac:dyDescent="0.2">
      <c r="A1135" s="9">
        <v>1131</v>
      </c>
      <c r="B1135" s="5" t="s">
        <v>1130</v>
      </c>
      <c r="C1135" s="6">
        <v>35539</v>
      </c>
      <c r="D1135" s="6">
        <v>35328</v>
      </c>
      <c r="E1135" s="6">
        <v>35206</v>
      </c>
      <c r="F1135" s="6">
        <v>35705</v>
      </c>
      <c r="G1135" s="6">
        <v>36314</v>
      </c>
      <c r="H1135" s="6">
        <v>36579</v>
      </c>
      <c r="I1135" s="1" t="str">
        <f t="shared" si="34"/>
        <v xml:space="preserve"> North Carolina</v>
      </c>
      <c r="J1135" s="1" t="str">
        <f t="shared" si="35"/>
        <v>Salisbury city</v>
      </c>
      <c r="K1135" s="1">
        <f>IF(COUNTIF($I$5:I1135,I1135)=1,1,0)</f>
        <v>0</v>
      </c>
    </row>
    <row r="1136" spans="1:11" x14ac:dyDescent="0.2">
      <c r="A1136" s="9">
        <v>1132</v>
      </c>
      <c r="B1136" s="5" t="s">
        <v>1131</v>
      </c>
      <c r="C1136" s="6">
        <v>37002</v>
      </c>
      <c r="D1136" s="6">
        <v>36925</v>
      </c>
      <c r="E1136" s="6">
        <v>36538</v>
      </c>
      <c r="F1136" s="6">
        <v>36759</v>
      </c>
      <c r="G1136" s="6">
        <v>36567</v>
      </c>
      <c r="H1136" s="6">
        <v>36491</v>
      </c>
      <c r="I1136" s="1" t="str">
        <f t="shared" si="34"/>
        <v xml:space="preserve"> Minnesota</v>
      </c>
      <c r="J1136" s="1" t="str">
        <f t="shared" si="35"/>
        <v>Richfield city</v>
      </c>
      <c r="K1136" s="1">
        <f>IF(COUNTIF($I$5:I1136,I1136)=1,1,0)</f>
        <v>0</v>
      </c>
    </row>
    <row r="1137" spans="1:11" x14ac:dyDescent="0.2">
      <c r="A1137" s="9">
        <v>1133</v>
      </c>
      <c r="B1137" s="5" t="s">
        <v>1132</v>
      </c>
      <c r="C1137" s="6">
        <v>34930</v>
      </c>
      <c r="D1137" s="6">
        <v>34867</v>
      </c>
      <c r="E1137" s="6">
        <v>35214</v>
      </c>
      <c r="F1137" s="6">
        <v>35481</v>
      </c>
      <c r="G1137" s="6">
        <v>35891</v>
      </c>
      <c r="H1137" s="6">
        <v>36489</v>
      </c>
      <c r="I1137" s="1" t="str">
        <f t="shared" si="34"/>
        <v xml:space="preserve"> New Jersey</v>
      </c>
      <c r="J1137" s="1" t="str">
        <f t="shared" si="35"/>
        <v>Fair Lawn borough</v>
      </c>
      <c r="K1137" s="1">
        <f>IF(COUNTIF($I$5:I1137,I1137)=1,1,0)</f>
        <v>0</v>
      </c>
    </row>
    <row r="1138" spans="1:11" x14ac:dyDescent="0.2">
      <c r="A1138" s="9">
        <v>1134</v>
      </c>
      <c r="B1138" s="5" t="s">
        <v>1133</v>
      </c>
      <c r="C1138" s="6">
        <v>35799</v>
      </c>
      <c r="D1138" s="6">
        <v>35953</v>
      </c>
      <c r="E1138" s="6">
        <v>35982</v>
      </c>
      <c r="F1138" s="6">
        <v>35994</v>
      </c>
      <c r="G1138" s="6">
        <v>36013</v>
      </c>
      <c r="H1138" s="6">
        <v>36468</v>
      </c>
      <c r="I1138" s="1" t="str">
        <f t="shared" si="34"/>
        <v xml:space="preserve"> Arizona</v>
      </c>
      <c r="J1138" s="1" t="str">
        <f t="shared" si="35"/>
        <v>El Mirage city</v>
      </c>
      <c r="K1138" s="1">
        <f>IF(COUNTIF($I$5:I1138,I1138)=1,1,0)</f>
        <v>0</v>
      </c>
    </row>
    <row r="1139" spans="1:11" x14ac:dyDescent="0.2">
      <c r="A1139" s="9">
        <v>1135</v>
      </c>
      <c r="B1139" s="5" t="s">
        <v>1134</v>
      </c>
      <c r="C1139" s="6">
        <v>37103</v>
      </c>
      <c r="D1139" s="6">
        <v>37010</v>
      </c>
      <c r="E1139" s="6">
        <v>36587</v>
      </c>
      <c r="F1139" s="6">
        <v>36322</v>
      </c>
      <c r="G1139" s="6">
        <v>36296</v>
      </c>
      <c r="H1139" s="6">
        <v>36434</v>
      </c>
      <c r="I1139" s="1" t="str">
        <f t="shared" si="34"/>
        <v xml:space="preserve"> Illinois</v>
      </c>
      <c r="J1139" s="1" t="str">
        <f t="shared" si="35"/>
        <v>Rock Island city</v>
      </c>
      <c r="K1139" s="1">
        <f>IF(COUNTIF($I$5:I1139,I1139)=1,1,0)</f>
        <v>0</v>
      </c>
    </row>
    <row r="1140" spans="1:11" x14ac:dyDescent="0.2">
      <c r="A1140" s="9">
        <v>1136</v>
      </c>
      <c r="B1140" s="5" t="s">
        <v>1135</v>
      </c>
      <c r="C1140" s="6">
        <v>24529</v>
      </c>
      <c r="D1140" s="6">
        <v>25204</v>
      </c>
      <c r="E1140" s="6">
        <v>27947</v>
      </c>
      <c r="F1140" s="6">
        <v>30888</v>
      </c>
      <c r="G1140" s="6">
        <v>33641</v>
      </c>
      <c r="H1140" s="6">
        <v>36244</v>
      </c>
      <c r="I1140" s="1" t="str">
        <f t="shared" si="34"/>
        <v xml:space="preserve"> South Carolina</v>
      </c>
      <c r="J1140" s="1" t="str">
        <f t="shared" si="35"/>
        <v>Fort Mill town</v>
      </c>
      <c r="K1140" s="1">
        <f>IF(COUNTIF($I$5:I1140,I1140)=1,1,0)</f>
        <v>0</v>
      </c>
    </row>
    <row r="1141" spans="1:11" x14ac:dyDescent="0.2">
      <c r="A1141" s="9">
        <v>1137</v>
      </c>
      <c r="B1141" s="5" t="s">
        <v>1136</v>
      </c>
      <c r="C1141" s="6">
        <v>35813</v>
      </c>
      <c r="D1141" s="6">
        <v>35826</v>
      </c>
      <c r="E1141" s="6">
        <v>35629</v>
      </c>
      <c r="F1141" s="6">
        <v>35750</v>
      </c>
      <c r="G1141" s="6">
        <v>36196</v>
      </c>
      <c r="H1141" s="6">
        <v>36226</v>
      </c>
      <c r="I1141" s="1" t="str">
        <f t="shared" si="34"/>
        <v xml:space="preserve"> Minnesota</v>
      </c>
      <c r="J1141" s="1" t="str">
        <f t="shared" si="35"/>
        <v>Inver Grove Heights city</v>
      </c>
      <c r="K1141" s="1">
        <f>IF(COUNTIF($I$5:I1141,I1141)=1,1,0)</f>
        <v>0</v>
      </c>
    </row>
    <row r="1142" spans="1:11" x14ac:dyDescent="0.2">
      <c r="A1142" s="9">
        <v>1138</v>
      </c>
      <c r="B1142" s="5" t="s">
        <v>1137</v>
      </c>
      <c r="C1142" s="6">
        <v>36024</v>
      </c>
      <c r="D1142" s="6">
        <v>36116</v>
      </c>
      <c r="E1142" s="6">
        <v>35881</v>
      </c>
      <c r="F1142" s="6">
        <v>35791</v>
      </c>
      <c r="G1142" s="6">
        <v>35963</v>
      </c>
      <c r="H1142" s="6">
        <v>36219</v>
      </c>
      <c r="I1142" s="1" t="str">
        <f t="shared" si="34"/>
        <v xml:space="preserve"> Utah</v>
      </c>
      <c r="J1142" s="1" t="str">
        <f t="shared" si="35"/>
        <v>Midvale city</v>
      </c>
      <c r="K1142" s="1">
        <f>IF(COUNTIF($I$5:I1142,I1142)=1,1,0)</f>
        <v>0</v>
      </c>
    </row>
    <row r="1143" spans="1:11" x14ac:dyDescent="0.2">
      <c r="A1143" s="9">
        <v>1139</v>
      </c>
      <c r="B1143" s="5" t="s">
        <v>1138</v>
      </c>
      <c r="C1143" s="6">
        <v>27703</v>
      </c>
      <c r="D1143" s="6">
        <v>28324</v>
      </c>
      <c r="E1143" s="6">
        <v>31733</v>
      </c>
      <c r="F1143" s="6">
        <v>34390</v>
      </c>
      <c r="G1143" s="6">
        <v>35230</v>
      </c>
      <c r="H1143" s="6">
        <v>36146</v>
      </c>
      <c r="I1143" s="1" t="str">
        <f t="shared" si="34"/>
        <v xml:space="preserve"> South Carolina</v>
      </c>
      <c r="J1143" s="1" t="str">
        <f t="shared" si="35"/>
        <v>Bluffton town</v>
      </c>
      <c r="K1143" s="1">
        <f>IF(COUNTIF($I$5:I1143,I1143)=1,1,0)</f>
        <v>0</v>
      </c>
    </row>
    <row r="1144" spans="1:11" x14ac:dyDescent="0.2">
      <c r="A1144" s="9">
        <v>1140</v>
      </c>
      <c r="B1144" s="5" t="s">
        <v>1139</v>
      </c>
      <c r="C1144" s="6">
        <v>36793</v>
      </c>
      <c r="D1144" s="6">
        <v>36760</v>
      </c>
      <c r="E1144" s="6">
        <v>36332</v>
      </c>
      <c r="F1144" s="6">
        <v>36144</v>
      </c>
      <c r="G1144" s="6">
        <v>36044</v>
      </c>
      <c r="H1144" s="6">
        <v>36140</v>
      </c>
      <c r="I1144" s="1" t="str">
        <f t="shared" si="34"/>
        <v xml:space="preserve"> Ohio</v>
      </c>
      <c r="J1144" s="1" t="str">
        <f t="shared" si="35"/>
        <v>Upper Arlington city</v>
      </c>
      <c r="K1144" s="1">
        <f>IF(COUNTIF($I$5:I1144,I1144)=1,1,0)</f>
        <v>0</v>
      </c>
    </row>
    <row r="1145" spans="1:11" x14ac:dyDescent="0.2">
      <c r="A1145" s="9">
        <v>1141</v>
      </c>
      <c r="B1145" s="5" t="s">
        <v>1140</v>
      </c>
      <c r="C1145" s="6">
        <v>37494</v>
      </c>
      <c r="D1145" s="6">
        <v>37427</v>
      </c>
      <c r="E1145" s="6">
        <v>36891</v>
      </c>
      <c r="F1145" s="6">
        <v>36335</v>
      </c>
      <c r="G1145" s="6">
        <v>36125</v>
      </c>
      <c r="H1145" s="6">
        <v>36139</v>
      </c>
      <c r="I1145" s="1" t="str">
        <f t="shared" si="34"/>
        <v xml:space="preserve"> California</v>
      </c>
      <c r="J1145" s="1" t="str">
        <f t="shared" si="35"/>
        <v>Claremont city</v>
      </c>
      <c r="K1145" s="1">
        <f>IF(COUNTIF($I$5:I1145,I1145)=1,1,0)</f>
        <v>0</v>
      </c>
    </row>
    <row r="1146" spans="1:11" x14ac:dyDescent="0.2">
      <c r="A1146" s="9">
        <v>1142</v>
      </c>
      <c r="B1146" s="5" t="s">
        <v>1141</v>
      </c>
      <c r="C1146" s="6">
        <v>35744</v>
      </c>
      <c r="D1146" s="6">
        <v>35734</v>
      </c>
      <c r="E1146" s="6">
        <v>35882</v>
      </c>
      <c r="F1146" s="6">
        <v>35801</v>
      </c>
      <c r="G1146" s="6">
        <v>35852</v>
      </c>
      <c r="H1146" s="6">
        <v>36075</v>
      </c>
      <c r="I1146" s="1" t="str">
        <f t="shared" si="34"/>
        <v xml:space="preserve"> Pennsylvania</v>
      </c>
      <c r="J1146" s="1" t="str">
        <f t="shared" si="35"/>
        <v>Norristown borough</v>
      </c>
      <c r="K1146" s="1">
        <f>IF(COUNTIF($I$5:I1146,I1146)=1,1,0)</f>
        <v>0</v>
      </c>
    </row>
    <row r="1147" spans="1:11" x14ac:dyDescent="0.2">
      <c r="A1147" s="9">
        <v>1143</v>
      </c>
      <c r="B1147" s="5" t="s">
        <v>1142</v>
      </c>
      <c r="C1147" s="6">
        <v>34804</v>
      </c>
      <c r="D1147" s="6">
        <v>34886</v>
      </c>
      <c r="E1147" s="6">
        <v>35197</v>
      </c>
      <c r="F1147" s="6">
        <v>35602</v>
      </c>
      <c r="G1147" s="6">
        <v>35868</v>
      </c>
      <c r="H1147" s="6">
        <v>36046</v>
      </c>
      <c r="I1147" s="1" t="str">
        <f t="shared" si="34"/>
        <v xml:space="preserve"> Ohio</v>
      </c>
      <c r="J1147" s="1" t="str">
        <f t="shared" si="35"/>
        <v>Mason city</v>
      </c>
      <c r="K1147" s="1">
        <f>IF(COUNTIF($I$5:I1147,I1147)=1,1,0)</f>
        <v>0</v>
      </c>
    </row>
    <row r="1148" spans="1:11" x14ac:dyDescent="0.2">
      <c r="A1148" s="9">
        <v>1144</v>
      </c>
      <c r="B1148" s="5" t="s">
        <v>1143</v>
      </c>
      <c r="C1148" s="6">
        <v>35272</v>
      </c>
      <c r="D1148" s="6">
        <v>35346</v>
      </c>
      <c r="E1148" s="6">
        <v>36164</v>
      </c>
      <c r="F1148" s="6">
        <v>35976</v>
      </c>
      <c r="G1148" s="6">
        <v>35803</v>
      </c>
      <c r="H1148" s="6">
        <v>36027</v>
      </c>
      <c r="I1148" s="1" t="str">
        <f t="shared" si="34"/>
        <v xml:space="preserve"> Utah</v>
      </c>
      <c r="J1148" s="1" t="str">
        <f t="shared" si="35"/>
        <v>Springville city</v>
      </c>
      <c r="K1148" s="1">
        <f>IF(COUNTIF($I$5:I1148,I1148)=1,1,0)</f>
        <v>0</v>
      </c>
    </row>
    <row r="1149" spans="1:11" x14ac:dyDescent="0.2">
      <c r="A1149" s="9">
        <v>1145</v>
      </c>
      <c r="B1149" s="5" t="s">
        <v>1144</v>
      </c>
      <c r="C1149" s="6">
        <v>35338</v>
      </c>
      <c r="D1149" s="6">
        <v>35369</v>
      </c>
      <c r="E1149" s="6">
        <v>35308</v>
      </c>
      <c r="F1149" s="6">
        <v>35403</v>
      </c>
      <c r="G1149" s="6">
        <v>35652</v>
      </c>
      <c r="H1149" s="6">
        <v>35985</v>
      </c>
      <c r="I1149" s="1" t="str">
        <f t="shared" si="34"/>
        <v xml:space="preserve"> Massachusetts</v>
      </c>
      <c r="J1149" s="1" t="str">
        <f t="shared" si="35"/>
        <v>Watertown city</v>
      </c>
      <c r="K1149" s="1">
        <f>IF(COUNTIF($I$5:I1149,I1149)=1,1,0)</f>
        <v>0</v>
      </c>
    </row>
    <row r="1150" spans="1:11" x14ac:dyDescent="0.2">
      <c r="A1150" s="9">
        <v>1146</v>
      </c>
      <c r="B1150" s="5" t="s">
        <v>1145</v>
      </c>
      <c r="C1150" s="6">
        <v>36243</v>
      </c>
      <c r="D1150" s="6">
        <v>36229</v>
      </c>
      <c r="E1150" s="6">
        <v>36120</v>
      </c>
      <c r="F1150" s="6">
        <v>35851</v>
      </c>
      <c r="G1150" s="6">
        <v>35757</v>
      </c>
      <c r="H1150" s="6">
        <v>35971</v>
      </c>
      <c r="I1150" s="1" t="str">
        <f t="shared" si="34"/>
        <v xml:space="preserve"> Texas</v>
      </c>
      <c r="J1150" s="1" t="str">
        <f t="shared" si="35"/>
        <v>Texarkana city</v>
      </c>
      <c r="K1150" s="1">
        <f>IF(COUNTIF($I$5:I1150,I1150)=1,1,0)</f>
        <v>0</v>
      </c>
    </row>
    <row r="1151" spans="1:11" x14ac:dyDescent="0.2">
      <c r="A1151" s="9">
        <v>1147</v>
      </c>
      <c r="B1151" s="5" t="s">
        <v>1146</v>
      </c>
      <c r="C1151" s="6">
        <v>36088</v>
      </c>
      <c r="D1151" s="6">
        <v>36070</v>
      </c>
      <c r="E1151" s="6">
        <v>36053</v>
      </c>
      <c r="F1151" s="6">
        <v>36170</v>
      </c>
      <c r="G1151" s="6">
        <v>36140</v>
      </c>
      <c r="H1151" s="6">
        <v>35932</v>
      </c>
      <c r="I1151" s="1" t="str">
        <f t="shared" si="34"/>
        <v xml:space="preserve"> Florida</v>
      </c>
      <c r="J1151" s="1" t="str">
        <f t="shared" si="35"/>
        <v>Dunedin city</v>
      </c>
      <c r="K1151" s="1">
        <f>IF(COUNTIF($I$5:I1151,I1151)=1,1,0)</f>
        <v>0</v>
      </c>
    </row>
    <row r="1152" spans="1:11" x14ac:dyDescent="0.2">
      <c r="A1152" s="9">
        <v>1148</v>
      </c>
      <c r="B1152" s="5" t="s">
        <v>1147</v>
      </c>
      <c r="C1152" s="6">
        <v>35668</v>
      </c>
      <c r="D1152" s="6">
        <v>35740</v>
      </c>
      <c r="E1152" s="6">
        <v>35892</v>
      </c>
      <c r="F1152" s="6">
        <v>35672</v>
      </c>
      <c r="G1152" s="6">
        <v>35507</v>
      </c>
      <c r="H1152" s="6">
        <v>35893</v>
      </c>
      <c r="I1152" s="1" t="str">
        <f t="shared" si="34"/>
        <v xml:space="preserve"> Georgia</v>
      </c>
      <c r="J1152" s="1" t="str">
        <f t="shared" si="35"/>
        <v>Stockbridge city</v>
      </c>
      <c r="K1152" s="1">
        <f>IF(COUNTIF($I$5:I1152,I1152)=1,1,0)</f>
        <v>0</v>
      </c>
    </row>
    <row r="1153" spans="1:11" x14ac:dyDescent="0.2">
      <c r="A1153" s="9">
        <v>1149</v>
      </c>
      <c r="B1153" s="5" t="s">
        <v>1148</v>
      </c>
      <c r="C1153" s="6">
        <v>35696</v>
      </c>
      <c r="D1153" s="6">
        <v>35631</v>
      </c>
      <c r="E1153" s="6">
        <v>35387</v>
      </c>
      <c r="F1153" s="6">
        <v>35243</v>
      </c>
      <c r="G1153" s="6">
        <v>35420</v>
      </c>
      <c r="H1153" s="6">
        <v>35728</v>
      </c>
      <c r="I1153" s="1" t="str">
        <f t="shared" si="34"/>
        <v xml:space="preserve"> Illinois</v>
      </c>
      <c r="J1153" s="1" t="str">
        <f t="shared" si="35"/>
        <v>Addison village</v>
      </c>
      <c r="K1153" s="1">
        <f>IF(COUNTIF($I$5:I1153,I1153)=1,1,0)</f>
        <v>0</v>
      </c>
    </row>
    <row r="1154" spans="1:11" x14ac:dyDescent="0.2">
      <c r="A1154" s="9">
        <v>1150</v>
      </c>
      <c r="B1154" s="5" t="s">
        <v>1149</v>
      </c>
      <c r="C1154" s="6">
        <v>35503</v>
      </c>
      <c r="D1154" s="6">
        <v>35363</v>
      </c>
      <c r="E1154" s="6">
        <v>35530</v>
      </c>
      <c r="F1154" s="6">
        <v>35567</v>
      </c>
      <c r="G1154" s="6">
        <v>35566</v>
      </c>
      <c r="H1154" s="6">
        <v>35673</v>
      </c>
      <c r="I1154" s="1" t="str">
        <f t="shared" si="34"/>
        <v xml:space="preserve"> Connecticut</v>
      </c>
      <c r="J1154" s="1" t="str">
        <f t="shared" si="35"/>
        <v>Torrington city</v>
      </c>
      <c r="K1154" s="1">
        <f>IF(COUNTIF($I$5:I1154,I1154)=1,1,0)</f>
        <v>0</v>
      </c>
    </row>
    <row r="1155" spans="1:11" x14ac:dyDescent="0.2">
      <c r="A1155" s="9">
        <v>1151</v>
      </c>
      <c r="B1155" s="5" t="s">
        <v>1150</v>
      </c>
      <c r="C1155" s="6">
        <v>36270</v>
      </c>
      <c r="D1155" s="6">
        <v>36225</v>
      </c>
      <c r="E1155" s="6">
        <v>35943</v>
      </c>
      <c r="F1155" s="6">
        <v>35665</v>
      </c>
      <c r="G1155" s="6">
        <v>35616</v>
      </c>
      <c r="H1155" s="6">
        <v>35637</v>
      </c>
      <c r="I1155" s="1" t="str">
        <f t="shared" si="34"/>
        <v xml:space="preserve"> Minnesota</v>
      </c>
      <c r="J1155" s="1" t="str">
        <f t="shared" si="35"/>
        <v>Roseville city</v>
      </c>
      <c r="K1155" s="1">
        <f>IF(COUNTIF($I$5:I1155,I1155)=1,1,0)</f>
        <v>0</v>
      </c>
    </row>
    <row r="1156" spans="1:11" x14ac:dyDescent="0.2">
      <c r="A1156" s="9">
        <v>1152</v>
      </c>
      <c r="B1156" s="5" t="s">
        <v>1151</v>
      </c>
      <c r="C1156" s="6">
        <v>36290</v>
      </c>
      <c r="D1156" s="6">
        <v>36247</v>
      </c>
      <c r="E1156" s="6">
        <v>36027</v>
      </c>
      <c r="F1156" s="6">
        <v>35727</v>
      </c>
      <c r="G1156" s="6">
        <v>35615</v>
      </c>
      <c r="H1156" s="6">
        <v>35621</v>
      </c>
      <c r="I1156" s="1" t="str">
        <f t="shared" si="34"/>
        <v xml:space="preserve"> California</v>
      </c>
      <c r="J1156" s="1" t="str">
        <f t="shared" si="35"/>
        <v>Moorpark city</v>
      </c>
      <c r="K1156" s="1">
        <f>IF(COUNTIF($I$5:I1156,I1156)=1,1,0)</f>
        <v>0</v>
      </c>
    </row>
    <row r="1157" spans="1:11" x14ac:dyDescent="0.2">
      <c r="A1157" s="9">
        <v>1153</v>
      </c>
      <c r="B1157" s="5" t="s">
        <v>1152</v>
      </c>
      <c r="C1157" s="6">
        <v>36053</v>
      </c>
      <c r="D1157" s="6">
        <v>36053</v>
      </c>
      <c r="E1157" s="6">
        <v>35977</v>
      </c>
      <c r="F1157" s="6">
        <v>35344</v>
      </c>
      <c r="G1157" s="6">
        <v>35565</v>
      </c>
      <c r="H1157" s="6">
        <v>35576</v>
      </c>
      <c r="I1157" s="1" t="str">
        <f t="shared" si="34"/>
        <v xml:space="preserve"> Ohio</v>
      </c>
      <c r="J1157" s="1" t="str">
        <f t="shared" si="35"/>
        <v>Marion city</v>
      </c>
      <c r="K1157" s="1">
        <f>IF(COUNTIF($I$5:I1157,I1157)=1,1,0)</f>
        <v>0</v>
      </c>
    </row>
    <row r="1158" spans="1:11" x14ac:dyDescent="0.2">
      <c r="A1158" s="9">
        <v>1154</v>
      </c>
      <c r="B1158" s="5" t="s">
        <v>1153</v>
      </c>
      <c r="C1158" s="6">
        <v>35754</v>
      </c>
      <c r="D1158" s="6">
        <v>35725</v>
      </c>
      <c r="E1158" s="6">
        <v>35661</v>
      </c>
      <c r="F1158" s="6">
        <v>35583</v>
      </c>
      <c r="G1158" s="6">
        <v>35533</v>
      </c>
      <c r="H1158" s="6">
        <v>35561</v>
      </c>
      <c r="I1158" s="1" t="str">
        <f t="shared" ref="I1158:I1221" si="36">_xlfn.TEXTAFTER(B1158,",")</f>
        <v xml:space="preserve"> Indiana</v>
      </c>
      <c r="J1158" s="1" t="str">
        <f t="shared" ref="J1158:J1221" si="37">_xlfn.TEXTBEFORE(B1158,", ")</f>
        <v>Richmond city</v>
      </c>
      <c r="K1158" s="1">
        <f>IF(COUNTIF($I$5:I1158,I1158)=1,1,0)</f>
        <v>0</v>
      </c>
    </row>
    <row r="1159" spans="1:11" x14ac:dyDescent="0.2">
      <c r="A1159" s="9">
        <v>1155</v>
      </c>
      <c r="B1159" s="5" t="s">
        <v>1154</v>
      </c>
      <c r="C1159" s="6">
        <v>35727</v>
      </c>
      <c r="D1159" s="6">
        <v>35705</v>
      </c>
      <c r="E1159" s="6">
        <v>35465</v>
      </c>
      <c r="F1159" s="6">
        <v>35257</v>
      </c>
      <c r="G1159" s="6">
        <v>35458</v>
      </c>
      <c r="H1159" s="6">
        <v>35544</v>
      </c>
      <c r="I1159" s="1" t="str">
        <f t="shared" si="36"/>
        <v xml:space="preserve"> Ohio</v>
      </c>
      <c r="J1159" s="1" t="str">
        <f t="shared" si="37"/>
        <v>Gahanna city</v>
      </c>
      <c r="K1159" s="1">
        <f>IF(COUNTIF($I$5:I1159,I1159)=1,1,0)</f>
        <v>0</v>
      </c>
    </row>
    <row r="1160" spans="1:11" x14ac:dyDescent="0.2">
      <c r="A1160" s="9">
        <v>1156</v>
      </c>
      <c r="B1160" s="5" t="s">
        <v>1155</v>
      </c>
      <c r="C1160" s="6">
        <v>34398</v>
      </c>
      <c r="D1160" s="6">
        <v>34334</v>
      </c>
      <c r="E1160" s="6">
        <v>34055</v>
      </c>
      <c r="F1160" s="6">
        <v>34449</v>
      </c>
      <c r="G1160" s="6">
        <v>35031</v>
      </c>
      <c r="H1160" s="6">
        <v>35541</v>
      </c>
      <c r="I1160" s="1" t="str">
        <f t="shared" si="36"/>
        <v xml:space="preserve"> Florida</v>
      </c>
      <c r="J1160" s="1" t="str">
        <f t="shared" si="37"/>
        <v>Cooper City city</v>
      </c>
      <c r="K1160" s="1">
        <f>IF(COUNTIF($I$5:I1160,I1160)=1,1,0)</f>
        <v>0</v>
      </c>
    </row>
    <row r="1161" spans="1:11" x14ac:dyDescent="0.2">
      <c r="A1161" s="9">
        <v>1157</v>
      </c>
      <c r="B1161" s="5" t="s">
        <v>1156</v>
      </c>
      <c r="C1161" s="6">
        <v>27996</v>
      </c>
      <c r="D1161" s="6">
        <v>28638</v>
      </c>
      <c r="E1161" s="6">
        <v>30983</v>
      </c>
      <c r="F1161" s="6">
        <v>32713</v>
      </c>
      <c r="G1161" s="6">
        <v>33902</v>
      </c>
      <c r="H1161" s="6">
        <v>35501</v>
      </c>
      <c r="I1161" s="1" t="str">
        <f t="shared" si="36"/>
        <v xml:space="preserve"> Utah</v>
      </c>
      <c r="J1161" s="1" t="str">
        <f t="shared" si="37"/>
        <v>Washington city</v>
      </c>
      <c r="K1161" s="1">
        <f>IF(COUNTIF($I$5:I1161,I1161)=1,1,0)</f>
        <v>0</v>
      </c>
    </row>
    <row r="1162" spans="1:11" x14ac:dyDescent="0.2">
      <c r="A1162" s="9">
        <v>1158</v>
      </c>
      <c r="B1162" s="5" t="s">
        <v>1157</v>
      </c>
      <c r="C1162" s="6">
        <v>34494</v>
      </c>
      <c r="D1162" s="6">
        <v>34573</v>
      </c>
      <c r="E1162" s="6">
        <v>34867</v>
      </c>
      <c r="F1162" s="6">
        <v>35225</v>
      </c>
      <c r="G1162" s="6">
        <v>35538</v>
      </c>
      <c r="H1162" s="6">
        <v>35480</v>
      </c>
      <c r="I1162" s="1" t="str">
        <f t="shared" si="36"/>
        <v xml:space="preserve"> Montana</v>
      </c>
      <c r="J1162" s="1" t="str">
        <f t="shared" si="37"/>
        <v>Butte-Silver Bow (balance)</v>
      </c>
      <c r="K1162" s="1">
        <f>IF(COUNTIF($I$5:I1162,I1162)=1,1,0)</f>
        <v>0</v>
      </c>
    </row>
    <row r="1163" spans="1:11" x14ac:dyDescent="0.2">
      <c r="A1163" s="9">
        <v>1159</v>
      </c>
      <c r="B1163" s="5" t="s">
        <v>1158</v>
      </c>
      <c r="C1163" s="6">
        <v>35197</v>
      </c>
      <c r="D1163" s="6">
        <v>35159</v>
      </c>
      <c r="E1163" s="6">
        <v>34919</v>
      </c>
      <c r="F1163" s="6">
        <v>34877</v>
      </c>
      <c r="G1163" s="6">
        <v>35031</v>
      </c>
      <c r="H1163" s="6">
        <v>35469</v>
      </c>
      <c r="I1163" s="1" t="str">
        <f t="shared" si="36"/>
        <v xml:space="preserve"> California</v>
      </c>
      <c r="J1163" s="1" t="str">
        <f t="shared" si="37"/>
        <v>San Juan Capistrano city</v>
      </c>
      <c r="K1163" s="1">
        <f>IF(COUNTIF($I$5:I1163,I1163)=1,1,0)</f>
        <v>0</v>
      </c>
    </row>
    <row r="1164" spans="1:11" x14ac:dyDescent="0.2">
      <c r="A1164" s="9">
        <v>1160</v>
      </c>
      <c r="B1164" s="5" t="s">
        <v>1159</v>
      </c>
      <c r="C1164" s="6">
        <v>35626</v>
      </c>
      <c r="D1164" s="6">
        <v>35605</v>
      </c>
      <c r="E1164" s="6">
        <v>35619</v>
      </c>
      <c r="F1164" s="6">
        <v>35501</v>
      </c>
      <c r="G1164" s="6">
        <v>35328</v>
      </c>
      <c r="H1164" s="6">
        <v>35401</v>
      </c>
      <c r="I1164" s="1" t="str">
        <f t="shared" si="36"/>
        <v xml:space="preserve"> Washington</v>
      </c>
      <c r="J1164" s="1" t="str">
        <f t="shared" si="37"/>
        <v>Wenatchee city</v>
      </c>
      <c r="K1164" s="1">
        <f>IF(COUNTIF($I$5:I1164,I1164)=1,1,0)</f>
        <v>0</v>
      </c>
    </row>
    <row r="1165" spans="1:11" x14ac:dyDescent="0.2">
      <c r="A1165" s="9">
        <v>1161</v>
      </c>
      <c r="B1165" s="5" t="s">
        <v>1160</v>
      </c>
      <c r="C1165" s="6">
        <v>32689</v>
      </c>
      <c r="D1165" s="6">
        <v>32894</v>
      </c>
      <c r="E1165" s="6">
        <v>33870</v>
      </c>
      <c r="F1165" s="6">
        <v>34637</v>
      </c>
      <c r="G1165" s="6">
        <v>35077</v>
      </c>
      <c r="H1165" s="6">
        <v>35383</v>
      </c>
      <c r="I1165" s="1" t="str">
        <f t="shared" si="36"/>
        <v xml:space="preserve"> Arizona</v>
      </c>
      <c r="J1165" s="1" t="str">
        <f t="shared" si="37"/>
        <v>Kingman city</v>
      </c>
      <c r="K1165" s="1">
        <f>IF(COUNTIF($I$5:I1165,I1165)=1,1,0)</f>
        <v>0</v>
      </c>
    </row>
    <row r="1166" spans="1:11" x14ac:dyDescent="0.2">
      <c r="A1166" s="9">
        <v>1162</v>
      </c>
      <c r="B1166" s="5" t="s">
        <v>1161</v>
      </c>
      <c r="C1166" s="6">
        <v>35234</v>
      </c>
      <c r="D1166" s="6">
        <v>35312</v>
      </c>
      <c r="E1166" s="6">
        <v>35467</v>
      </c>
      <c r="F1166" s="6">
        <v>35428</v>
      </c>
      <c r="G1166" s="6">
        <v>35294</v>
      </c>
      <c r="H1166" s="6">
        <v>35344</v>
      </c>
      <c r="I1166" s="1" t="str">
        <f t="shared" si="36"/>
        <v xml:space="preserve"> Washington</v>
      </c>
      <c r="J1166" s="1" t="str">
        <f t="shared" si="37"/>
        <v>Mount Vernon city</v>
      </c>
      <c r="K1166" s="1">
        <f>IF(COUNTIF($I$5:I1166,I1166)=1,1,0)</f>
        <v>0</v>
      </c>
    </row>
    <row r="1167" spans="1:11" x14ac:dyDescent="0.2">
      <c r="A1167" s="9">
        <v>1163</v>
      </c>
      <c r="B1167" s="5" t="s">
        <v>1162</v>
      </c>
      <c r="C1167" s="6">
        <v>33090</v>
      </c>
      <c r="D1167" s="6">
        <v>33234</v>
      </c>
      <c r="E1167" s="6">
        <v>33603</v>
      </c>
      <c r="F1167" s="6">
        <v>34112</v>
      </c>
      <c r="G1167" s="6">
        <v>34440</v>
      </c>
      <c r="H1167" s="6">
        <v>35263</v>
      </c>
      <c r="I1167" s="1" t="str">
        <f t="shared" si="36"/>
        <v xml:space="preserve"> Texas</v>
      </c>
      <c r="J1167" s="1" t="str">
        <f t="shared" si="37"/>
        <v>Harker Heights city</v>
      </c>
      <c r="K1167" s="1">
        <f>IF(COUNTIF($I$5:I1167,I1167)=1,1,0)</f>
        <v>0</v>
      </c>
    </row>
    <row r="1168" spans="1:11" x14ac:dyDescent="0.2">
      <c r="A1168" s="9">
        <v>1164</v>
      </c>
      <c r="B1168" s="5" t="s">
        <v>1163</v>
      </c>
      <c r="C1168" s="6">
        <v>34349</v>
      </c>
      <c r="D1168" s="6">
        <v>34266</v>
      </c>
      <c r="E1168" s="6">
        <v>34316</v>
      </c>
      <c r="F1168" s="6">
        <v>34271</v>
      </c>
      <c r="G1168" s="6">
        <v>34908</v>
      </c>
      <c r="H1168" s="6">
        <v>35255</v>
      </c>
      <c r="I1168" s="1" t="str">
        <f t="shared" si="36"/>
        <v xml:space="preserve"> Oregon</v>
      </c>
      <c r="J1168" s="1" t="str">
        <f t="shared" si="37"/>
        <v>McMinnville city</v>
      </c>
      <c r="K1168" s="1">
        <f>IF(COUNTIF($I$5:I1168,I1168)=1,1,0)</f>
        <v>0</v>
      </c>
    </row>
    <row r="1169" spans="1:11" x14ac:dyDescent="0.2">
      <c r="A1169" s="9">
        <v>1165</v>
      </c>
      <c r="B1169" s="5" t="s">
        <v>1164</v>
      </c>
      <c r="C1169" s="6">
        <v>33639</v>
      </c>
      <c r="D1169" s="6">
        <v>33622</v>
      </c>
      <c r="E1169" s="6">
        <v>33662</v>
      </c>
      <c r="F1169" s="6">
        <v>33678</v>
      </c>
      <c r="G1169" s="6">
        <v>34489</v>
      </c>
      <c r="H1169" s="6">
        <v>35238</v>
      </c>
      <c r="I1169" s="1" t="str">
        <f t="shared" si="36"/>
        <v xml:space="preserve"> Colorado</v>
      </c>
      <c r="J1169" s="1" t="str">
        <f t="shared" si="37"/>
        <v>Englewood city</v>
      </c>
      <c r="K1169" s="1">
        <f>IF(COUNTIF($I$5:I1169,I1169)=1,1,0)</f>
        <v>0</v>
      </c>
    </row>
    <row r="1170" spans="1:11" x14ac:dyDescent="0.2">
      <c r="A1170" s="9">
        <v>1166</v>
      </c>
      <c r="B1170" s="5" t="s">
        <v>1165</v>
      </c>
      <c r="C1170" s="6">
        <v>33427</v>
      </c>
      <c r="D1170" s="6">
        <v>33464</v>
      </c>
      <c r="E1170" s="6">
        <v>33294</v>
      </c>
      <c r="F1170" s="6">
        <v>34336</v>
      </c>
      <c r="G1170" s="6">
        <v>34435</v>
      </c>
      <c r="H1170" s="6">
        <v>35226</v>
      </c>
      <c r="I1170" s="1" t="str">
        <f t="shared" si="36"/>
        <v xml:space="preserve"> Georgia</v>
      </c>
      <c r="J1170" s="1" t="str">
        <f t="shared" si="37"/>
        <v>Statesboro city</v>
      </c>
      <c r="K1170" s="1">
        <f>IF(COUNTIF($I$5:I1170,I1170)=1,1,0)</f>
        <v>0</v>
      </c>
    </row>
    <row r="1171" spans="1:11" x14ac:dyDescent="0.2">
      <c r="A1171" s="9">
        <v>1167</v>
      </c>
      <c r="B1171" s="5" t="s">
        <v>1166</v>
      </c>
      <c r="C1171" s="6">
        <v>35407</v>
      </c>
      <c r="D1171" s="6">
        <v>35431</v>
      </c>
      <c r="E1171" s="6">
        <v>35371</v>
      </c>
      <c r="F1171" s="6">
        <v>35211</v>
      </c>
      <c r="G1171" s="6">
        <v>35087</v>
      </c>
      <c r="H1171" s="6">
        <v>35166</v>
      </c>
      <c r="I1171" s="1" t="str">
        <f t="shared" si="36"/>
        <v xml:space="preserve"> Ohio</v>
      </c>
      <c r="J1171" s="1" t="str">
        <f t="shared" si="37"/>
        <v>Brunswick city</v>
      </c>
      <c r="K1171" s="1">
        <f>IF(COUNTIF($I$5:I1171,I1171)=1,1,0)</f>
        <v>0</v>
      </c>
    </row>
    <row r="1172" spans="1:11" x14ac:dyDescent="0.2">
      <c r="A1172" s="9">
        <v>1168</v>
      </c>
      <c r="B1172" s="5" t="s">
        <v>1167</v>
      </c>
      <c r="C1172" s="6">
        <v>34872</v>
      </c>
      <c r="D1172" s="6">
        <v>34904</v>
      </c>
      <c r="E1172" s="6">
        <v>34941</v>
      </c>
      <c r="F1172" s="6">
        <v>34642</v>
      </c>
      <c r="G1172" s="6">
        <v>34946</v>
      </c>
      <c r="H1172" s="6">
        <v>35160</v>
      </c>
      <c r="I1172" s="1" t="str">
        <f t="shared" si="36"/>
        <v xml:space="preserve"> Washington</v>
      </c>
      <c r="J1172" s="1" t="str">
        <f t="shared" si="37"/>
        <v>University Place city</v>
      </c>
      <c r="K1172" s="1">
        <f>IF(COUNTIF($I$5:I1172,I1172)=1,1,0)</f>
        <v>0</v>
      </c>
    </row>
    <row r="1173" spans="1:11" x14ac:dyDescent="0.2">
      <c r="A1173" s="9">
        <v>1169</v>
      </c>
      <c r="B1173" s="5" t="s">
        <v>1168</v>
      </c>
      <c r="C1173" s="6">
        <v>35028</v>
      </c>
      <c r="D1173" s="6">
        <v>34971</v>
      </c>
      <c r="E1173" s="6">
        <v>34755</v>
      </c>
      <c r="F1173" s="6">
        <v>34762</v>
      </c>
      <c r="G1173" s="6">
        <v>34795</v>
      </c>
      <c r="H1173" s="6">
        <v>35114</v>
      </c>
      <c r="I1173" s="1" t="str">
        <f t="shared" si="36"/>
        <v xml:space="preserve"> Massachusetts</v>
      </c>
      <c r="J1173" s="1" t="str">
        <f t="shared" si="37"/>
        <v>Randolph Town city</v>
      </c>
      <c r="K1173" s="1">
        <f>IF(COUNTIF($I$5:I1173,I1173)=1,1,0)</f>
        <v>0</v>
      </c>
    </row>
    <row r="1174" spans="1:11" x14ac:dyDescent="0.2">
      <c r="A1174" s="9">
        <v>1170</v>
      </c>
      <c r="B1174" s="5" t="s">
        <v>1169</v>
      </c>
      <c r="C1174" s="6">
        <v>34524</v>
      </c>
      <c r="D1174" s="6">
        <v>34575</v>
      </c>
      <c r="E1174" s="6">
        <v>34440</v>
      </c>
      <c r="F1174" s="6">
        <v>34750</v>
      </c>
      <c r="G1174" s="6">
        <v>34816</v>
      </c>
      <c r="H1174" s="6">
        <v>35105</v>
      </c>
      <c r="I1174" s="1" t="str">
        <f t="shared" si="36"/>
        <v xml:space="preserve"> Ohio</v>
      </c>
      <c r="J1174" s="1" t="str">
        <f t="shared" si="37"/>
        <v>Fairborn city</v>
      </c>
      <c r="K1174" s="1">
        <f>IF(COUNTIF($I$5:I1174,I1174)=1,1,0)</f>
        <v>0</v>
      </c>
    </row>
    <row r="1175" spans="1:11" x14ac:dyDescent="0.2">
      <c r="A1175" s="9">
        <v>1171</v>
      </c>
      <c r="B1175" s="5" t="s">
        <v>1170</v>
      </c>
      <c r="C1175" s="6">
        <v>33899</v>
      </c>
      <c r="D1175" s="6">
        <v>33996</v>
      </c>
      <c r="E1175" s="6">
        <v>34131</v>
      </c>
      <c r="F1175" s="6">
        <v>34553</v>
      </c>
      <c r="G1175" s="6">
        <v>34871</v>
      </c>
      <c r="H1175" s="6">
        <v>35097</v>
      </c>
      <c r="I1175" s="1" t="str">
        <f t="shared" si="36"/>
        <v xml:space="preserve"> Indiana</v>
      </c>
      <c r="J1175" s="1" t="str">
        <f t="shared" si="37"/>
        <v>Crown Point city</v>
      </c>
      <c r="K1175" s="1">
        <f>IF(COUNTIF($I$5:I1175,I1175)=1,1,0)</f>
        <v>0</v>
      </c>
    </row>
    <row r="1176" spans="1:11" x14ac:dyDescent="0.2">
      <c r="A1176" s="9">
        <v>1172</v>
      </c>
      <c r="B1176" s="5" t="s">
        <v>1171</v>
      </c>
      <c r="C1176" s="6">
        <v>35418</v>
      </c>
      <c r="D1176" s="6">
        <v>35390</v>
      </c>
      <c r="E1176" s="6">
        <v>35257</v>
      </c>
      <c r="F1176" s="6">
        <v>35005</v>
      </c>
      <c r="G1176" s="6">
        <v>34985</v>
      </c>
      <c r="H1176" s="6">
        <v>35082</v>
      </c>
      <c r="I1176" s="1" t="str">
        <f t="shared" si="36"/>
        <v xml:space="preserve"> Missouri</v>
      </c>
      <c r="J1176" s="1" t="str">
        <f t="shared" si="37"/>
        <v>Wildwood city</v>
      </c>
      <c r="K1176" s="1">
        <f>IF(COUNTIF($I$5:I1176,I1176)=1,1,0)</f>
        <v>0</v>
      </c>
    </row>
    <row r="1177" spans="1:11" x14ac:dyDescent="0.2">
      <c r="A1177" s="9">
        <v>1173</v>
      </c>
      <c r="B1177" s="5" t="s">
        <v>1172</v>
      </c>
      <c r="C1177" s="6">
        <v>34161</v>
      </c>
      <c r="D1177" s="6">
        <v>34170</v>
      </c>
      <c r="E1177" s="6">
        <v>34485</v>
      </c>
      <c r="F1177" s="6">
        <v>34606</v>
      </c>
      <c r="G1177" s="6">
        <v>34621</v>
      </c>
      <c r="H1177" s="6">
        <v>35065</v>
      </c>
      <c r="I1177" s="1" t="str">
        <f t="shared" si="36"/>
        <v xml:space="preserve"> Indiana</v>
      </c>
      <c r="J1177" s="1" t="str">
        <f t="shared" si="37"/>
        <v>Valparaiso city</v>
      </c>
      <c r="K1177" s="1">
        <f>IF(COUNTIF($I$5:I1177,I1177)=1,1,0)</f>
        <v>0</v>
      </c>
    </row>
    <row r="1178" spans="1:11" x14ac:dyDescent="0.2">
      <c r="A1178" s="9">
        <v>1174</v>
      </c>
      <c r="B1178" s="5" t="s">
        <v>1173</v>
      </c>
      <c r="C1178" s="6">
        <v>34374</v>
      </c>
      <c r="D1178" s="6">
        <v>34350</v>
      </c>
      <c r="E1178" s="6">
        <v>34195</v>
      </c>
      <c r="F1178" s="6">
        <v>34023</v>
      </c>
      <c r="G1178" s="6">
        <v>34549</v>
      </c>
      <c r="H1178" s="6">
        <v>35023</v>
      </c>
      <c r="I1178" s="1" t="str">
        <f t="shared" si="36"/>
        <v xml:space="preserve"> Michigan</v>
      </c>
      <c r="J1178" s="1" t="str">
        <f t="shared" si="37"/>
        <v>Holland city</v>
      </c>
      <c r="K1178" s="1">
        <f>IF(COUNTIF($I$5:I1178,I1178)=1,1,0)</f>
        <v>0</v>
      </c>
    </row>
    <row r="1179" spans="1:11" x14ac:dyDescent="0.2">
      <c r="A1179" s="9">
        <v>1175</v>
      </c>
      <c r="B1179" s="5" t="s">
        <v>1174</v>
      </c>
      <c r="C1179" s="6">
        <v>31005</v>
      </c>
      <c r="D1179" s="6">
        <v>31071</v>
      </c>
      <c r="E1179" s="6">
        <v>31534</v>
      </c>
      <c r="F1179" s="6">
        <v>32762</v>
      </c>
      <c r="G1179" s="6">
        <v>33692</v>
      </c>
      <c r="H1179" s="6">
        <v>35005</v>
      </c>
      <c r="I1179" s="1" t="str">
        <f t="shared" si="36"/>
        <v xml:space="preserve"> Alabama</v>
      </c>
      <c r="J1179" s="1" t="str">
        <f t="shared" si="37"/>
        <v>Opelika city</v>
      </c>
      <c r="K1179" s="1">
        <f>IF(COUNTIF($I$5:I1179,I1179)=1,1,0)</f>
        <v>0</v>
      </c>
    </row>
    <row r="1180" spans="1:11" x14ac:dyDescent="0.2">
      <c r="A1180" s="9">
        <v>1176</v>
      </c>
      <c r="B1180" s="5" t="s">
        <v>1175</v>
      </c>
      <c r="C1180" s="6">
        <v>36460</v>
      </c>
      <c r="D1180" s="6">
        <v>36365</v>
      </c>
      <c r="E1180" s="6">
        <v>35627</v>
      </c>
      <c r="F1180" s="6">
        <v>35184</v>
      </c>
      <c r="G1180" s="6">
        <v>34998</v>
      </c>
      <c r="H1180" s="6">
        <v>34989</v>
      </c>
      <c r="I1180" s="1" t="str">
        <f t="shared" si="36"/>
        <v xml:space="preserve"> California</v>
      </c>
      <c r="J1180" s="1" t="str">
        <f t="shared" si="37"/>
        <v>Temple City city</v>
      </c>
      <c r="K1180" s="1">
        <f>IF(COUNTIF($I$5:I1180,I1180)=1,1,0)</f>
        <v>0</v>
      </c>
    </row>
    <row r="1181" spans="1:11" x14ac:dyDescent="0.2">
      <c r="A1181" s="9">
        <v>1177</v>
      </c>
      <c r="B1181" s="5" t="s">
        <v>1176</v>
      </c>
      <c r="C1181" s="6">
        <v>34461</v>
      </c>
      <c r="D1181" s="6">
        <v>34424</v>
      </c>
      <c r="E1181" s="6">
        <v>34227</v>
      </c>
      <c r="F1181" s="6">
        <v>34417</v>
      </c>
      <c r="G1181" s="6">
        <v>34655</v>
      </c>
      <c r="H1181" s="6">
        <v>34970</v>
      </c>
      <c r="I1181" s="1" t="str">
        <f t="shared" si="36"/>
        <v xml:space="preserve"> Georgia</v>
      </c>
      <c r="J1181" s="1" t="str">
        <f t="shared" si="37"/>
        <v>Dalton city</v>
      </c>
      <c r="K1181" s="1">
        <f>IF(COUNTIF($I$5:I1181,I1181)=1,1,0)</f>
        <v>0</v>
      </c>
    </row>
    <row r="1182" spans="1:11" x14ac:dyDescent="0.2">
      <c r="A1182" s="9">
        <v>1178</v>
      </c>
      <c r="B1182" s="5" t="s">
        <v>1177</v>
      </c>
      <c r="C1182" s="6">
        <v>36043</v>
      </c>
      <c r="D1182" s="6">
        <v>35905</v>
      </c>
      <c r="E1182" s="6">
        <v>35237</v>
      </c>
      <c r="F1182" s="6">
        <v>34763</v>
      </c>
      <c r="G1182" s="6">
        <v>34643</v>
      </c>
      <c r="H1182" s="6">
        <v>34855</v>
      </c>
      <c r="I1182" s="1" t="str">
        <f t="shared" si="36"/>
        <v xml:space="preserve"> Illinois</v>
      </c>
      <c r="J1182" s="1" t="str">
        <f t="shared" si="37"/>
        <v>Calumet City city</v>
      </c>
      <c r="K1182" s="1">
        <f>IF(COUNTIF($I$5:I1182,I1182)=1,1,0)</f>
        <v>0</v>
      </c>
    </row>
    <row r="1183" spans="1:11" x14ac:dyDescent="0.2">
      <c r="A1183" s="9">
        <v>1179</v>
      </c>
      <c r="B1183" s="5" t="s">
        <v>1178</v>
      </c>
      <c r="C1183" s="6">
        <v>31902</v>
      </c>
      <c r="D1183" s="6">
        <v>31914</v>
      </c>
      <c r="E1183" s="6">
        <v>32246</v>
      </c>
      <c r="F1183" s="6">
        <v>34079</v>
      </c>
      <c r="G1183" s="6">
        <v>34579</v>
      </c>
      <c r="H1183" s="6">
        <v>34778</v>
      </c>
      <c r="I1183" s="1" t="str">
        <f t="shared" si="36"/>
        <v xml:space="preserve"> Utah</v>
      </c>
      <c r="J1183" s="1" t="str">
        <f t="shared" si="37"/>
        <v>Clearfield city</v>
      </c>
      <c r="K1183" s="1">
        <f>IF(COUNTIF($I$5:I1183,I1183)=1,1,0)</f>
        <v>0</v>
      </c>
    </row>
    <row r="1184" spans="1:11" x14ac:dyDescent="0.2">
      <c r="A1184" s="9">
        <v>1180</v>
      </c>
      <c r="B1184" s="5" t="s">
        <v>1179</v>
      </c>
      <c r="C1184" s="6">
        <v>35046</v>
      </c>
      <c r="D1184" s="6">
        <v>34801</v>
      </c>
      <c r="E1184" s="6">
        <v>34795</v>
      </c>
      <c r="F1184" s="6">
        <v>34691</v>
      </c>
      <c r="G1184" s="6">
        <v>34693</v>
      </c>
      <c r="H1184" s="6">
        <v>34777</v>
      </c>
      <c r="I1184" s="1" t="str">
        <f t="shared" si="36"/>
        <v xml:space="preserve"> New York</v>
      </c>
      <c r="J1184" s="1" t="str">
        <f t="shared" si="37"/>
        <v>Long Beach city</v>
      </c>
      <c r="K1184" s="1">
        <f>IF(COUNTIF($I$5:I1184,I1184)=1,1,0)</f>
        <v>0</v>
      </c>
    </row>
    <row r="1185" spans="1:11" x14ac:dyDescent="0.2">
      <c r="A1185" s="9">
        <v>1181</v>
      </c>
      <c r="B1185" s="5" t="s">
        <v>1180</v>
      </c>
      <c r="C1185" s="6">
        <v>33800</v>
      </c>
      <c r="D1185" s="6">
        <v>33882</v>
      </c>
      <c r="E1185" s="6">
        <v>33986</v>
      </c>
      <c r="F1185" s="6">
        <v>34256</v>
      </c>
      <c r="G1185" s="6">
        <v>34364</v>
      </c>
      <c r="H1185" s="6">
        <v>34741</v>
      </c>
      <c r="I1185" s="1" t="str">
        <f t="shared" si="36"/>
        <v xml:space="preserve"> Nebraska</v>
      </c>
      <c r="J1185" s="1" t="str">
        <f t="shared" si="37"/>
        <v>Kearney city</v>
      </c>
      <c r="K1185" s="1">
        <f>IF(COUNTIF($I$5:I1185,I1185)=1,1,0)</f>
        <v>0</v>
      </c>
    </row>
    <row r="1186" spans="1:11" x14ac:dyDescent="0.2">
      <c r="A1186" s="9">
        <v>1182</v>
      </c>
      <c r="B1186" s="5" t="s">
        <v>1181</v>
      </c>
      <c r="C1186" s="6">
        <v>32112</v>
      </c>
      <c r="D1186" s="6">
        <v>32255</v>
      </c>
      <c r="E1186" s="6">
        <v>33092</v>
      </c>
      <c r="F1186" s="6">
        <v>33828</v>
      </c>
      <c r="G1186" s="6">
        <v>34369</v>
      </c>
      <c r="H1186" s="6">
        <v>34729</v>
      </c>
      <c r="I1186" s="1" t="str">
        <f t="shared" si="36"/>
        <v xml:space="preserve"> Montana</v>
      </c>
      <c r="J1186" s="1" t="str">
        <f t="shared" si="37"/>
        <v>Helena city</v>
      </c>
      <c r="K1186" s="1">
        <f>IF(COUNTIF($I$5:I1186,I1186)=1,1,0)</f>
        <v>0</v>
      </c>
    </row>
    <row r="1187" spans="1:11" x14ac:dyDescent="0.2">
      <c r="A1187" s="9">
        <v>1183</v>
      </c>
      <c r="B1187" s="5" t="s">
        <v>1182</v>
      </c>
      <c r="C1187" s="6">
        <v>34210</v>
      </c>
      <c r="D1187" s="6">
        <v>34250</v>
      </c>
      <c r="E1187" s="6">
        <v>34512</v>
      </c>
      <c r="F1187" s="6">
        <v>34906</v>
      </c>
      <c r="G1187" s="6">
        <v>34837</v>
      </c>
      <c r="H1187" s="6">
        <v>34693</v>
      </c>
      <c r="I1187" s="1" t="str">
        <f t="shared" si="36"/>
        <v xml:space="preserve"> Idaho</v>
      </c>
      <c r="J1187" s="1" t="str">
        <f t="shared" si="37"/>
        <v>Lewiston city</v>
      </c>
      <c r="K1187" s="1">
        <f>IF(COUNTIF($I$5:I1187,I1187)=1,1,0)</f>
        <v>0</v>
      </c>
    </row>
    <row r="1188" spans="1:11" x14ac:dyDescent="0.2">
      <c r="A1188" s="9">
        <v>1184</v>
      </c>
      <c r="B1188" s="5" t="s">
        <v>1183</v>
      </c>
      <c r="C1188" s="6">
        <v>35531</v>
      </c>
      <c r="D1188" s="6">
        <v>35483</v>
      </c>
      <c r="E1188" s="6">
        <v>35262</v>
      </c>
      <c r="F1188" s="6">
        <v>34912</v>
      </c>
      <c r="G1188" s="6">
        <v>34745</v>
      </c>
      <c r="H1188" s="6">
        <v>34690</v>
      </c>
      <c r="I1188" s="1" t="str">
        <f t="shared" si="36"/>
        <v xml:space="preserve"> Ohio</v>
      </c>
      <c r="J1188" s="1" t="str">
        <f t="shared" si="37"/>
        <v>Lima city</v>
      </c>
      <c r="K1188" s="1">
        <f>IF(COUNTIF($I$5:I1188,I1188)=1,1,0)</f>
        <v>0</v>
      </c>
    </row>
    <row r="1189" spans="1:11" x14ac:dyDescent="0.2">
      <c r="A1189" s="9">
        <v>1185</v>
      </c>
      <c r="B1189" s="5" t="s">
        <v>1184</v>
      </c>
      <c r="C1189" s="6">
        <v>34715</v>
      </c>
      <c r="D1189" s="6">
        <v>34719</v>
      </c>
      <c r="E1189" s="6">
        <v>34600</v>
      </c>
      <c r="F1189" s="6">
        <v>34634</v>
      </c>
      <c r="G1189" s="6">
        <v>34686</v>
      </c>
      <c r="H1189" s="6">
        <v>34678</v>
      </c>
      <c r="I1189" s="1" t="str">
        <f t="shared" si="36"/>
        <v xml:space="preserve"> Texas</v>
      </c>
      <c r="J1189" s="1" t="str">
        <f t="shared" si="37"/>
        <v>Del Rio city</v>
      </c>
      <c r="K1189" s="1">
        <f>IF(COUNTIF($I$5:I1189,I1189)=1,1,0)</f>
        <v>0</v>
      </c>
    </row>
    <row r="1190" spans="1:11" x14ac:dyDescent="0.2">
      <c r="A1190" s="9">
        <v>1186</v>
      </c>
      <c r="B1190" s="5" t="s">
        <v>1185</v>
      </c>
      <c r="C1190" s="6">
        <v>34759</v>
      </c>
      <c r="D1190" s="6">
        <v>34712</v>
      </c>
      <c r="E1190" s="6">
        <v>34522</v>
      </c>
      <c r="F1190" s="6">
        <v>34374</v>
      </c>
      <c r="G1190" s="6">
        <v>34434</v>
      </c>
      <c r="H1190" s="6">
        <v>34667</v>
      </c>
      <c r="I1190" s="1" t="str">
        <f t="shared" si="36"/>
        <v xml:space="preserve"> Maryland</v>
      </c>
      <c r="J1190" s="1" t="str">
        <f t="shared" si="37"/>
        <v>College Park city</v>
      </c>
      <c r="K1190" s="1">
        <f>IF(COUNTIF($I$5:I1190,I1190)=1,1,0)</f>
        <v>0</v>
      </c>
    </row>
    <row r="1191" spans="1:11" x14ac:dyDescent="0.2">
      <c r="A1191" s="9">
        <v>1187</v>
      </c>
      <c r="B1191" s="5" t="s">
        <v>1186</v>
      </c>
      <c r="C1191" s="6">
        <v>34255</v>
      </c>
      <c r="D1191" s="6">
        <v>34495</v>
      </c>
      <c r="E1191" s="6">
        <v>34181</v>
      </c>
      <c r="F1191" s="6">
        <v>34118</v>
      </c>
      <c r="G1191" s="6">
        <v>34505</v>
      </c>
      <c r="H1191" s="6">
        <v>34629</v>
      </c>
      <c r="I1191" s="1" t="str">
        <f t="shared" si="36"/>
        <v xml:space="preserve"> North Carolina</v>
      </c>
      <c r="J1191" s="1" t="str">
        <f t="shared" si="37"/>
        <v>Goldsboro city</v>
      </c>
      <c r="K1191" s="1">
        <f>IF(COUNTIF($I$5:I1191,I1191)=1,1,0)</f>
        <v>0</v>
      </c>
    </row>
    <row r="1192" spans="1:11" x14ac:dyDescent="0.2">
      <c r="A1192" s="9">
        <v>1188</v>
      </c>
      <c r="B1192" s="5" t="s">
        <v>1187</v>
      </c>
      <c r="C1192" s="6">
        <v>34646</v>
      </c>
      <c r="D1192" s="6">
        <v>34663</v>
      </c>
      <c r="E1192" s="6">
        <v>34727</v>
      </c>
      <c r="F1192" s="6">
        <v>34520</v>
      </c>
      <c r="G1192" s="6">
        <v>34572</v>
      </c>
      <c r="H1192" s="6">
        <v>34616</v>
      </c>
      <c r="I1192" s="1" t="str">
        <f t="shared" si="36"/>
        <v xml:space="preserve"> Wisconsin</v>
      </c>
      <c r="J1192" s="1" t="str">
        <f t="shared" si="37"/>
        <v>Manitowoc city</v>
      </c>
      <c r="K1192" s="1">
        <f>IF(COUNTIF($I$5:I1192,I1192)=1,1,0)</f>
        <v>0</v>
      </c>
    </row>
    <row r="1193" spans="1:11" x14ac:dyDescent="0.2">
      <c r="A1193" s="9">
        <v>1189</v>
      </c>
      <c r="B1193" s="5" t="s">
        <v>1188</v>
      </c>
      <c r="C1193" s="6">
        <v>31392</v>
      </c>
      <c r="D1193" s="6">
        <v>31412</v>
      </c>
      <c r="E1193" s="6">
        <v>31941</v>
      </c>
      <c r="F1193" s="6">
        <v>31910</v>
      </c>
      <c r="G1193" s="6">
        <v>33061</v>
      </c>
      <c r="H1193" s="6">
        <v>34565</v>
      </c>
      <c r="I1193" s="1" t="str">
        <f t="shared" si="36"/>
        <v xml:space="preserve"> Kentucky</v>
      </c>
      <c r="J1193" s="1" t="str">
        <f t="shared" si="37"/>
        <v>Elizabethtown city</v>
      </c>
      <c r="K1193" s="1">
        <f>IF(COUNTIF($I$5:I1193,I1193)=1,1,0)</f>
        <v>0</v>
      </c>
    </row>
    <row r="1194" spans="1:11" x14ac:dyDescent="0.2">
      <c r="A1194" s="9">
        <v>1190</v>
      </c>
      <c r="B1194" s="5" t="s">
        <v>1189</v>
      </c>
      <c r="C1194" s="6">
        <v>35266</v>
      </c>
      <c r="D1194" s="6">
        <v>35152</v>
      </c>
      <c r="E1194" s="6">
        <v>34613</v>
      </c>
      <c r="F1194" s="6">
        <v>34268</v>
      </c>
      <c r="G1194" s="6">
        <v>34291</v>
      </c>
      <c r="H1194" s="6">
        <v>34546</v>
      </c>
      <c r="I1194" s="1" t="str">
        <f t="shared" si="36"/>
        <v xml:space="preserve"> Illinois</v>
      </c>
      <c r="J1194" s="1" t="str">
        <f t="shared" si="37"/>
        <v>Northbrook village</v>
      </c>
      <c r="K1194" s="1">
        <f>IF(COUNTIF($I$5:I1194,I1194)=1,1,0)</f>
        <v>0</v>
      </c>
    </row>
    <row r="1195" spans="1:11" x14ac:dyDescent="0.2">
      <c r="A1195" s="9">
        <v>1191</v>
      </c>
      <c r="B1195" s="5" t="s">
        <v>1190</v>
      </c>
      <c r="C1195" s="6">
        <v>34500</v>
      </c>
      <c r="D1195" s="6">
        <v>34364</v>
      </c>
      <c r="E1195" s="6">
        <v>33745</v>
      </c>
      <c r="F1195" s="6">
        <v>33668</v>
      </c>
      <c r="G1195" s="6">
        <v>33601</v>
      </c>
      <c r="H1195" s="6">
        <v>34495</v>
      </c>
      <c r="I1195" s="1" t="str">
        <f t="shared" si="36"/>
        <v xml:space="preserve"> Texas</v>
      </c>
      <c r="J1195" s="1" t="str">
        <f t="shared" si="37"/>
        <v>Deer Park city</v>
      </c>
      <c r="K1195" s="1">
        <f>IF(COUNTIF($I$5:I1195,I1195)=1,1,0)</f>
        <v>0</v>
      </c>
    </row>
    <row r="1196" spans="1:11" x14ac:dyDescent="0.2">
      <c r="A1196" s="9">
        <v>1192</v>
      </c>
      <c r="B1196" s="5" t="s">
        <v>1191</v>
      </c>
      <c r="C1196" s="6">
        <v>33342</v>
      </c>
      <c r="D1196" s="6">
        <v>33401</v>
      </c>
      <c r="E1196" s="6">
        <v>33723</v>
      </c>
      <c r="F1196" s="6">
        <v>33870</v>
      </c>
      <c r="G1196" s="6">
        <v>34166</v>
      </c>
      <c r="H1196" s="6">
        <v>34460</v>
      </c>
      <c r="I1196" s="1" t="str">
        <f t="shared" si="36"/>
        <v xml:space="preserve"> Alabama</v>
      </c>
      <c r="J1196" s="1" t="str">
        <f t="shared" si="37"/>
        <v>Alabaster city</v>
      </c>
      <c r="K1196" s="1">
        <f>IF(COUNTIF($I$5:I1196,I1196)=1,1,0)</f>
        <v>0</v>
      </c>
    </row>
    <row r="1197" spans="1:11" x14ac:dyDescent="0.2">
      <c r="A1197" s="9">
        <v>1193</v>
      </c>
      <c r="B1197" s="5" t="s">
        <v>1192</v>
      </c>
      <c r="C1197" s="6">
        <v>34514</v>
      </c>
      <c r="D1197" s="6">
        <v>34506</v>
      </c>
      <c r="E1197" s="6">
        <v>34447</v>
      </c>
      <c r="F1197" s="6">
        <v>34418</v>
      </c>
      <c r="G1197" s="6">
        <v>34447</v>
      </c>
      <c r="H1197" s="6">
        <v>34458</v>
      </c>
      <c r="I1197" s="1" t="str">
        <f t="shared" si="36"/>
        <v xml:space="preserve"> Indiana</v>
      </c>
      <c r="J1197" s="1" t="str">
        <f t="shared" si="37"/>
        <v>Goshen city</v>
      </c>
      <c r="K1197" s="1">
        <f>IF(COUNTIF($I$5:I1197,I1197)=1,1,0)</f>
        <v>0</v>
      </c>
    </row>
    <row r="1198" spans="1:11" x14ac:dyDescent="0.2">
      <c r="A1198" s="9">
        <v>1194</v>
      </c>
      <c r="B1198" s="5" t="s">
        <v>1193</v>
      </c>
      <c r="C1198" s="6">
        <v>23377</v>
      </c>
      <c r="D1198" s="6">
        <v>25163</v>
      </c>
      <c r="E1198" s="6">
        <v>27391</v>
      </c>
      <c r="F1198" s="6">
        <v>29518</v>
      </c>
      <c r="G1198" s="6">
        <v>31495</v>
      </c>
      <c r="H1198" s="6">
        <v>34451</v>
      </c>
      <c r="I1198" s="1" t="str">
        <f t="shared" si="36"/>
        <v xml:space="preserve"> North Carolina</v>
      </c>
      <c r="J1198" s="1" t="str">
        <f t="shared" si="37"/>
        <v>Leland town</v>
      </c>
      <c r="K1198" s="1">
        <f>IF(COUNTIF($I$5:I1198,I1198)=1,1,0)</f>
        <v>0</v>
      </c>
    </row>
    <row r="1199" spans="1:11" x14ac:dyDescent="0.2">
      <c r="A1199" s="9">
        <v>1195</v>
      </c>
      <c r="B1199" s="5" t="s">
        <v>1194</v>
      </c>
      <c r="C1199" s="6">
        <v>23949</v>
      </c>
      <c r="D1199" s="6">
        <v>24368</v>
      </c>
      <c r="E1199" s="6">
        <v>26487</v>
      </c>
      <c r="F1199" s="6">
        <v>29154</v>
      </c>
      <c r="G1199" s="6">
        <v>31750</v>
      </c>
      <c r="H1199" s="6">
        <v>34420</v>
      </c>
      <c r="I1199" s="1" t="str">
        <f t="shared" si="36"/>
        <v xml:space="preserve"> Iowa</v>
      </c>
      <c r="J1199" s="1" t="str">
        <f t="shared" si="37"/>
        <v>Waukee city</v>
      </c>
      <c r="K1199" s="1">
        <f>IF(COUNTIF($I$5:I1199,I1199)=1,1,0)</f>
        <v>0</v>
      </c>
    </row>
    <row r="1200" spans="1:11" x14ac:dyDescent="0.2">
      <c r="A1200" s="9">
        <v>1196</v>
      </c>
      <c r="B1200" s="5" t="s">
        <v>1195</v>
      </c>
      <c r="C1200" s="6">
        <v>34173</v>
      </c>
      <c r="D1200" s="6">
        <v>34127</v>
      </c>
      <c r="E1200" s="6">
        <v>34209</v>
      </c>
      <c r="F1200" s="6">
        <v>34214</v>
      </c>
      <c r="G1200" s="6">
        <v>34328</v>
      </c>
      <c r="H1200" s="6">
        <v>34399</v>
      </c>
      <c r="I1200" s="1" t="str">
        <f t="shared" si="36"/>
        <v xml:space="preserve"> Texas</v>
      </c>
      <c r="J1200" s="1" t="str">
        <f t="shared" si="37"/>
        <v>Lufkin city</v>
      </c>
      <c r="K1200" s="1">
        <f>IF(COUNTIF($I$5:I1200,I1200)=1,1,0)</f>
        <v>0</v>
      </c>
    </row>
    <row r="1201" spans="1:11" x14ac:dyDescent="0.2">
      <c r="A1201" s="9">
        <v>1197</v>
      </c>
      <c r="B1201" s="5" t="s">
        <v>1196</v>
      </c>
      <c r="C1201" s="6">
        <v>35810</v>
      </c>
      <c r="D1201" s="6">
        <v>35696</v>
      </c>
      <c r="E1201" s="6">
        <v>35055</v>
      </c>
      <c r="F1201" s="6">
        <v>34752</v>
      </c>
      <c r="G1201" s="6">
        <v>34530</v>
      </c>
      <c r="H1201" s="6">
        <v>34371</v>
      </c>
      <c r="I1201" s="1" t="str">
        <f t="shared" si="36"/>
        <v xml:space="preserve"> California</v>
      </c>
      <c r="J1201" s="1" t="str">
        <f t="shared" si="37"/>
        <v>West Hollywood city</v>
      </c>
      <c r="K1201" s="1">
        <f>IF(COUNTIF($I$5:I1201,I1201)=1,1,0)</f>
        <v>0</v>
      </c>
    </row>
    <row r="1202" spans="1:11" x14ac:dyDescent="0.2">
      <c r="A1202" s="9">
        <v>1198</v>
      </c>
      <c r="B1202" s="5" t="s">
        <v>1197</v>
      </c>
      <c r="C1202" s="6">
        <v>31419</v>
      </c>
      <c r="D1202" s="6">
        <v>31523</v>
      </c>
      <c r="E1202" s="6">
        <v>31729</v>
      </c>
      <c r="F1202" s="6">
        <v>32747</v>
      </c>
      <c r="G1202" s="6">
        <v>33485</v>
      </c>
      <c r="H1202" s="6">
        <v>34366</v>
      </c>
      <c r="I1202" s="1" t="str">
        <f t="shared" si="36"/>
        <v xml:space="preserve"> North Carolina</v>
      </c>
      <c r="J1202" s="1" t="str">
        <f t="shared" si="37"/>
        <v>Cornelius town</v>
      </c>
      <c r="K1202" s="1">
        <f>IF(COUNTIF($I$5:I1202,I1202)=1,1,0)</f>
        <v>0</v>
      </c>
    </row>
    <row r="1203" spans="1:11" x14ac:dyDescent="0.2">
      <c r="A1203" s="9">
        <v>1199</v>
      </c>
      <c r="B1203" s="5" t="s">
        <v>1198</v>
      </c>
      <c r="C1203" s="6">
        <v>30983</v>
      </c>
      <c r="D1203" s="6">
        <v>31300</v>
      </c>
      <c r="E1203" s="6">
        <v>31647</v>
      </c>
      <c r="F1203" s="6">
        <v>32323</v>
      </c>
      <c r="G1203" s="6">
        <v>33450</v>
      </c>
      <c r="H1203" s="6">
        <v>34357</v>
      </c>
      <c r="I1203" s="1" t="str">
        <f t="shared" si="36"/>
        <v xml:space="preserve"> Wisconsin</v>
      </c>
      <c r="J1203" s="1" t="str">
        <f t="shared" si="37"/>
        <v>Fitchburg city</v>
      </c>
      <c r="K1203" s="1">
        <f>IF(COUNTIF($I$5:I1203,I1203)=1,1,0)</f>
        <v>0</v>
      </c>
    </row>
    <row r="1204" spans="1:11" x14ac:dyDescent="0.2">
      <c r="A1204" s="9">
        <v>1200</v>
      </c>
      <c r="B1204" s="5" t="s">
        <v>1199</v>
      </c>
      <c r="C1204" s="6">
        <v>28147</v>
      </c>
      <c r="D1204" s="6">
        <v>28285</v>
      </c>
      <c r="E1204" s="6">
        <v>29566</v>
      </c>
      <c r="F1204" s="6">
        <v>31096</v>
      </c>
      <c r="G1204" s="6">
        <v>32794</v>
      </c>
      <c r="H1204" s="6">
        <v>34355</v>
      </c>
      <c r="I1204" s="1" t="str">
        <f t="shared" si="36"/>
        <v xml:space="preserve"> Texas</v>
      </c>
      <c r="J1204" s="1" t="str">
        <f t="shared" si="37"/>
        <v>Greenville city</v>
      </c>
      <c r="K1204" s="1">
        <f>IF(COUNTIF($I$5:I1204,I1204)=1,1,0)</f>
        <v>0</v>
      </c>
    </row>
    <row r="1205" spans="1:11" x14ac:dyDescent="0.2">
      <c r="A1205" s="9">
        <v>1201</v>
      </c>
      <c r="B1205" s="5" t="s">
        <v>1200</v>
      </c>
      <c r="C1205" s="6">
        <v>35232</v>
      </c>
      <c r="D1205" s="6">
        <v>35170</v>
      </c>
      <c r="E1205" s="6">
        <v>34907</v>
      </c>
      <c r="F1205" s="6">
        <v>34571</v>
      </c>
      <c r="G1205" s="6">
        <v>34386</v>
      </c>
      <c r="H1205" s="6">
        <v>34349</v>
      </c>
      <c r="I1205" s="1" t="str">
        <f t="shared" si="36"/>
        <v xml:space="preserve"> Missouri</v>
      </c>
      <c r="J1205" s="1" t="str">
        <f t="shared" si="37"/>
        <v>University City city</v>
      </c>
      <c r="K1205" s="1">
        <f>IF(COUNTIF($I$5:I1205,I1205)=1,1,0)</f>
        <v>0</v>
      </c>
    </row>
    <row r="1206" spans="1:11" x14ac:dyDescent="0.2">
      <c r="A1206" s="9">
        <v>1202</v>
      </c>
      <c r="B1206" s="5" t="s">
        <v>1201</v>
      </c>
      <c r="C1206" s="6">
        <v>34238</v>
      </c>
      <c r="D1206" s="6">
        <v>34200</v>
      </c>
      <c r="E1206" s="6">
        <v>33986</v>
      </c>
      <c r="F1206" s="6">
        <v>33976</v>
      </c>
      <c r="G1206" s="6">
        <v>34123</v>
      </c>
      <c r="H1206" s="6">
        <v>34232</v>
      </c>
      <c r="I1206" s="1" t="str">
        <f t="shared" si="36"/>
        <v xml:space="preserve"> Ohio</v>
      </c>
      <c r="J1206" s="1" t="str">
        <f t="shared" si="37"/>
        <v>Westlake city</v>
      </c>
      <c r="K1206" s="1">
        <f>IF(COUNTIF($I$5:I1206,I1206)=1,1,0)</f>
        <v>0</v>
      </c>
    </row>
    <row r="1207" spans="1:11" x14ac:dyDescent="0.2">
      <c r="A1207" s="9">
        <v>1203</v>
      </c>
      <c r="B1207" s="5" t="s">
        <v>1202</v>
      </c>
      <c r="C1207" s="6">
        <v>31317</v>
      </c>
      <c r="D1207" s="6">
        <v>31338</v>
      </c>
      <c r="E1207" s="6">
        <v>31822</v>
      </c>
      <c r="F1207" s="6">
        <v>32544</v>
      </c>
      <c r="G1207" s="6">
        <v>33789</v>
      </c>
      <c r="H1207" s="6">
        <v>34218</v>
      </c>
      <c r="I1207" s="1" t="str">
        <f t="shared" si="36"/>
        <v xml:space="preserve"> North Carolina</v>
      </c>
      <c r="J1207" s="1" t="str">
        <f t="shared" si="37"/>
        <v>New Bern city</v>
      </c>
      <c r="K1207" s="1">
        <f>IF(COUNTIF($I$5:I1207,I1207)=1,1,0)</f>
        <v>0</v>
      </c>
    </row>
    <row r="1208" spans="1:11" x14ac:dyDescent="0.2">
      <c r="A1208" s="9">
        <v>1204</v>
      </c>
      <c r="B1208" s="5" t="s">
        <v>1203</v>
      </c>
      <c r="C1208" s="6">
        <v>34611</v>
      </c>
      <c r="D1208" s="6">
        <v>34589</v>
      </c>
      <c r="E1208" s="6">
        <v>34379</v>
      </c>
      <c r="F1208" s="6">
        <v>34111</v>
      </c>
      <c r="G1208" s="6">
        <v>34004</v>
      </c>
      <c r="H1208" s="6">
        <v>34169</v>
      </c>
      <c r="I1208" s="1" t="str">
        <f t="shared" si="36"/>
        <v xml:space="preserve"> California</v>
      </c>
      <c r="J1208" s="1" t="str">
        <f t="shared" si="37"/>
        <v>Pleasant Hill city</v>
      </c>
      <c r="K1208" s="1">
        <f>IF(COUNTIF($I$5:I1208,I1208)=1,1,0)</f>
        <v>0</v>
      </c>
    </row>
    <row r="1209" spans="1:11" x14ac:dyDescent="0.2">
      <c r="A1209" s="9">
        <v>1205</v>
      </c>
      <c r="B1209" s="5" t="s">
        <v>1204</v>
      </c>
      <c r="C1209" s="6">
        <v>34153</v>
      </c>
      <c r="D1209" s="6">
        <v>34116</v>
      </c>
      <c r="E1209" s="6">
        <v>33876</v>
      </c>
      <c r="F1209" s="6">
        <v>33716</v>
      </c>
      <c r="G1209" s="6">
        <v>33830</v>
      </c>
      <c r="H1209" s="6">
        <v>34103</v>
      </c>
      <c r="I1209" s="1" t="str">
        <f t="shared" si="36"/>
        <v xml:space="preserve"> Illinois</v>
      </c>
      <c r="J1209" s="1" t="str">
        <f t="shared" si="37"/>
        <v>Woodridge village</v>
      </c>
      <c r="K1209" s="1">
        <f>IF(COUNTIF($I$5:I1209,I1209)=1,1,0)</f>
        <v>0</v>
      </c>
    </row>
    <row r="1210" spans="1:11" x14ac:dyDescent="0.2">
      <c r="A1210" s="9">
        <v>1206</v>
      </c>
      <c r="B1210" s="5" t="s">
        <v>1205</v>
      </c>
      <c r="C1210" s="6">
        <v>34490</v>
      </c>
      <c r="D1210" s="6">
        <v>34460</v>
      </c>
      <c r="E1210" s="6">
        <v>34386</v>
      </c>
      <c r="F1210" s="6">
        <v>34263</v>
      </c>
      <c r="G1210" s="6">
        <v>34039</v>
      </c>
      <c r="H1210" s="6">
        <v>34101</v>
      </c>
      <c r="I1210" s="1" t="str">
        <f t="shared" si="36"/>
        <v xml:space="preserve"> Ohio</v>
      </c>
      <c r="J1210" s="1" t="str">
        <f t="shared" si="37"/>
        <v>Stow city</v>
      </c>
      <c r="K1210" s="1">
        <f>IF(COUNTIF($I$5:I1210,I1210)=1,1,0)</f>
        <v>0</v>
      </c>
    </row>
    <row r="1211" spans="1:11" x14ac:dyDescent="0.2">
      <c r="A1211" s="9">
        <v>1207</v>
      </c>
      <c r="B1211" s="5" t="s">
        <v>1206</v>
      </c>
      <c r="C1211" s="6">
        <v>33465</v>
      </c>
      <c r="D1211" s="6">
        <v>33398</v>
      </c>
      <c r="E1211" s="6">
        <v>33422</v>
      </c>
      <c r="F1211" s="6">
        <v>33481</v>
      </c>
      <c r="G1211" s="6">
        <v>33328</v>
      </c>
      <c r="H1211" s="6">
        <v>34058</v>
      </c>
      <c r="I1211" s="1" t="str">
        <f t="shared" si="36"/>
        <v xml:space="preserve"> Virginia</v>
      </c>
      <c r="J1211" s="1" t="str">
        <f t="shared" si="37"/>
        <v>Petersburg city</v>
      </c>
      <c r="K1211" s="1">
        <f>IF(COUNTIF($I$5:I1211,I1211)=1,1,0)</f>
        <v>0</v>
      </c>
    </row>
    <row r="1212" spans="1:11" x14ac:dyDescent="0.2">
      <c r="A1212" s="9">
        <v>1208</v>
      </c>
      <c r="B1212" s="5" t="s">
        <v>1207</v>
      </c>
      <c r="C1212" s="6">
        <v>32724</v>
      </c>
      <c r="D1212" s="6">
        <v>32695</v>
      </c>
      <c r="E1212" s="6">
        <v>33693</v>
      </c>
      <c r="F1212" s="6">
        <v>33681</v>
      </c>
      <c r="G1212" s="6">
        <v>33907</v>
      </c>
      <c r="H1212" s="6">
        <v>34052</v>
      </c>
      <c r="I1212" s="1" t="str">
        <f t="shared" si="36"/>
        <v xml:space="preserve"> Pennsylvania</v>
      </c>
      <c r="J1212" s="1" t="str">
        <f t="shared" si="37"/>
        <v>Chester city</v>
      </c>
      <c r="K1212" s="1">
        <f>IF(COUNTIF($I$5:I1212,I1212)=1,1,0)</f>
        <v>0</v>
      </c>
    </row>
    <row r="1213" spans="1:11" x14ac:dyDescent="0.2">
      <c r="A1213" s="9">
        <v>1209</v>
      </c>
      <c r="B1213" s="5" t="s">
        <v>1208</v>
      </c>
      <c r="C1213" s="6">
        <v>31406</v>
      </c>
      <c r="D1213" s="6">
        <v>31461</v>
      </c>
      <c r="E1213" s="6">
        <v>31864</v>
      </c>
      <c r="F1213" s="6">
        <v>32655</v>
      </c>
      <c r="G1213" s="6">
        <v>33450</v>
      </c>
      <c r="H1213" s="6">
        <v>34039</v>
      </c>
      <c r="I1213" s="1" t="str">
        <f t="shared" si="36"/>
        <v xml:space="preserve"> Tennessee</v>
      </c>
      <c r="J1213" s="1" t="str">
        <f t="shared" si="37"/>
        <v>Oak Ridge city</v>
      </c>
      <c r="K1213" s="1">
        <f>IF(COUNTIF($I$5:I1213,I1213)=1,1,0)</f>
        <v>0</v>
      </c>
    </row>
    <row r="1214" spans="1:11" x14ac:dyDescent="0.2">
      <c r="A1214" s="9">
        <v>1210</v>
      </c>
      <c r="B1214" s="5" t="s">
        <v>1209</v>
      </c>
      <c r="C1214" s="6">
        <v>31439</v>
      </c>
      <c r="D1214" s="6">
        <v>31387</v>
      </c>
      <c r="E1214" s="6">
        <v>31597</v>
      </c>
      <c r="F1214" s="6">
        <v>32012</v>
      </c>
      <c r="G1214" s="6">
        <v>33152</v>
      </c>
      <c r="H1214" s="6">
        <v>34024</v>
      </c>
      <c r="I1214" s="1" t="str">
        <f t="shared" si="36"/>
        <v xml:space="preserve"> Washington</v>
      </c>
      <c r="J1214" s="1" t="str">
        <f t="shared" si="37"/>
        <v>SeaTac city</v>
      </c>
      <c r="K1214" s="1">
        <f>IF(COUNTIF($I$5:I1214,I1214)=1,1,0)</f>
        <v>0</v>
      </c>
    </row>
    <row r="1215" spans="1:11" x14ac:dyDescent="0.2">
      <c r="A1215" s="9">
        <v>1211</v>
      </c>
      <c r="B1215" s="5" t="s">
        <v>1210</v>
      </c>
      <c r="C1215" s="6">
        <v>33896</v>
      </c>
      <c r="D1215" s="6">
        <v>33881</v>
      </c>
      <c r="E1215" s="6">
        <v>33690</v>
      </c>
      <c r="F1215" s="6">
        <v>33519</v>
      </c>
      <c r="G1215" s="6">
        <v>33904</v>
      </c>
      <c r="H1215" s="6">
        <v>34013</v>
      </c>
      <c r="I1215" s="1" t="str">
        <f t="shared" si="36"/>
        <v xml:space="preserve"> Kansas</v>
      </c>
      <c r="J1215" s="1" t="str">
        <f t="shared" si="37"/>
        <v>Leawood city</v>
      </c>
      <c r="K1215" s="1">
        <f>IF(COUNTIF($I$5:I1215,I1215)=1,1,0)</f>
        <v>0</v>
      </c>
    </row>
    <row r="1216" spans="1:11" x14ac:dyDescent="0.2">
      <c r="A1216" s="9">
        <v>1212</v>
      </c>
      <c r="B1216" s="5" t="s">
        <v>1211</v>
      </c>
      <c r="C1216" s="6">
        <v>34329</v>
      </c>
      <c r="D1216" s="6">
        <v>34258</v>
      </c>
      <c r="E1216" s="6">
        <v>34092</v>
      </c>
      <c r="F1216" s="6">
        <v>33834</v>
      </c>
      <c r="G1216" s="6">
        <v>33803</v>
      </c>
      <c r="H1216" s="6">
        <v>33943</v>
      </c>
      <c r="I1216" s="1" t="str">
        <f t="shared" si="36"/>
        <v xml:space="preserve"> Michigan</v>
      </c>
      <c r="J1216" s="1" t="str">
        <f t="shared" si="37"/>
        <v>Eastpointe city</v>
      </c>
      <c r="K1216" s="1">
        <f>IF(COUNTIF($I$5:I1216,I1216)=1,1,0)</f>
        <v>0</v>
      </c>
    </row>
    <row r="1217" spans="1:11" x14ac:dyDescent="0.2">
      <c r="A1217" s="9">
        <v>1213</v>
      </c>
      <c r="B1217" s="5" t="s">
        <v>1212</v>
      </c>
      <c r="C1217" s="6">
        <v>32532</v>
      </c>
      <c r="D1217" s="6">
        <v>32554</v>
      </c>
      <c r="E1217" s="6">
        <v>32879</v>
      </c>
      <c r="F1217" s="6">
        <v>33156</v>
      </c>
      <c r="G1217" s="6">
        <v>33521</v>
      </c>
      <c r="H1217" s="6">
        <v>33917</v>
      </c>
      <c r="I1217" s="1" t="str">
        <f t="shared" si="36"/>
        <v xml:space="preserve"> California</v>
      </c>
      <c r="J1217" s="1" t="str">
        <f t="shared" si="37"/>
        <v>Desert Hot Springs city</v>
      </c>
      <c r="K1217" s="1">
        <f>IF(COUNTIF($I$5:I1217,I1217)=1,1,0)</f>
        <v>0</v>
      </c>
    </row>
    <row r="1218" spans="1:11" x14ac:dyDescent="0.2">
      <c r="A1218" s="9">
        <v>1214</v>
      </c>
      <c r="B1218" s="5" t="s">
        <v>1213</v>
      </c>
      <c r="C1218" s="6">
        <v>32749</v>
      </c>
      <c r="D1218" s="6">
        <v>32783</v>
      </c>
      <c r="E1218" s="6">
        <v>33281</v>
      </c>
      <c r="F1218" s="6">
        <v>33352</v>
      </c>
      <c r="G1218" s="6">
        <v>33503</v>
      </c>
      <c r="H1218" s="6">
        <v>33909</v>
      </c>
      <c r="I1218" s="1" t="str">
        <f t="shared" si="36"/>
        <v xml:space="preserve"> New Hampshire</v>
      </c>
      <c r="J1218" s="1" t="str">
        <f t="shared" si="37"/>
        <v>Dover city</v>
      </c>
      <c r="K1218" s="1">
        <f>IF(COUNTIF($I$5:I1218,I1218)=1,1,0)</f>
        <v>0</v>
      </c>
    </row>
    <row r="1219" spans="1:11" x14ac:dyDescent="0.2">
      <c r="A1219" s="9">
        <v>1215</v>
      </c>
      <c r="B1219" s="5" t="s">
        <v>1214</v>
      </c>
      <c r="C1219" s="6">
        <v>34275</v>
      </c>
      <c r="D1219" s="6">
        <v>34275</v>
      </c>
      <c r="E1219" s="6">
        <v>33855</v>
      </c>
      <c r="F1219" s="6">
        <v>33829</v>
      </c>
      <c r="G1219" s="6">
        <v>33749</v>
      </c>
      <c r="H1219" s="6">
        <v>33901</v>
      </c>
      <c r="I1219" s="1" t="str">
        <f t="shared" si="36"/>
        <v xml:space="preserve"> Washington</v>
      </c>
      <c r="J1219" s="1" t="str">
        <f t="shared" si="37"/>
        <v>Walla Walla city</v>
      </c>
      <c r="K1219" s="1">
        <f>IF(COUNTIF($I$5:I1219,I1219)=1,1,0)</f>
        <v>0</v>
      </c>
    </row>
    <row r="1220" spans="1:11" x14ac:dyDescent="0.2">
      <c r="A1220" s="9">
        <v>1216</v>
      </c>
      <c r="B1220" s="5" t="s">
        <v>1215</v>
      </c>
      <c r="C1220" s="6">
        <v>33423</v>
      </c>
      <c r="D1220" s="6">
        <v>33494</v>
      </c>
      <c r="E1220" s="6">
        <v>33008</v>
      </c>
      <c r="F1220" s="6">
        <v>33287</v>
      </c>
      <c r="G1220" s="6">
        <v>33523</v>
      </c>
      <c r="H1220" s="6">
        <v>33846</v>
      </c>
      <c r="I1220" s="1" t="str">
        <f t="shared" si="36"/>
        <v xml:space="preserve"> Wyoming</v>
      </c>
      <c r="J1220" s="1" t="str">
        <f t="shared" si="37"/>
        <v>Gillette city</v>
      </c>
      <c r="K1220" s="1">
        <f>IF(COUNTIF($I$5:I1220,I1220)=1,1,0)</f>
        <v>0</v>
      </c>
    </row>
    <row r="1221" spans="1:11" x14ac:dyDescent="0.2">
      <c r="A1221" s="9">
        <v>1217</v>
      </c>
      <c r="B1221" s="5" t="s">
        <v>1216</v>
      </c>
      <c r="C1221" s="6">
        <v>32107</v>
      </c>
      <c r="D1221" s="6">
        <v>30180</v>
      </c>
      <c r="E1221" s="6">
        <v>32763</v>
      </c>
      <c r="F1221" s="6">
        <v>33739</v>
      </c>
      <c r="G1221" s="6">
        <v>33630</v>
      </c>
      <c r="H1221" s="6">
        <v>33768</v>
      </c>
      <c r="I1221" s="1" t="str">
        <f t="shared" si="36"/>
        <v xml:space="preserve"> New York</v>
      </c>
      <c r="J1221" s="1" t="str">
        <f t="shared" si="37"/>
        <v>Ithaca city</v>
      </c>
      <c r="K1221" s="1">
        <f>IF(COUNTIF($I$5:I1221,I1221)=1,1,0)</f>
        <v>0</v>
      </c>
    </row>
    <row r="1222" spans="1:11" x14ac:dyDescent="0.2">
      <c r="A1222" s="9">
        <v>1218</v>
      </c>
      <c r="B1222" s="5" t="s">
        <v>1217</v>
      </c>
      <c r="C1222" s="6">
        <v>31985</v>
      </c>
      <c r="D1222" s="6">
        <v>32092</v>
      </c>
      <c r="E1222" s="6">
        <v>32296</v>
      </c>
      <c r="F1222" s="6">
        <v>32694</v>
      </c>
      <c r="G1222" s="6">
        <v>33169</v>
      </c>
      <c r="H1222" s="6">
        <v>33763</v>
      </c>
      <c r="I1222" s="1" t="str">
        <f t="shared" ref="I1222:I1285" si="38">_xlfn.TEXTAFTER(B1222,",")</f>
        <v xml:space="preserve"> Kentucky</v>
      </c>
      <c r="J1222" s="1" t="str">
        <f t="shared" ref="J1222:J1285" si="39">_xlfn.TEXTBEFORE(B1222,", ")</f>
        <v>Florence city</v>
      </c>
      <c r="K1222" s="1">
        <f>IF(COUNTIF($I$5:I1222,I1222)=1,1,0)</f>
        <v>0</v>
      </c>
    </row>
    <row r="1223" spans="1:11" x14ac:dyDescent="0.2">
      <c r="A1223" s="9">
        <v>1219</v>
      </c>
      <c r="B1223" s="5" t="s">
        <v>1218</v>
      </c>
      <c r="C1223" s="6">
        <v>33271</v>
      </c>
      <c r="D1223" s="6">
        <v>32324</v>
      </c>
      <c r="E1223" s="6">
        <v>33101</v>
      </c>
      <c r="F1223" s="6">
        <v>33217</v>
      </c>
      <c r="G1223" s="6">
        <v>33376</v>
      </c>
      <c r="H1223" s="6">
        <v>33742</v>
      </c>
      <c r="I1223" s="1" t="str">
        <f t="shared" si="38"/>
        <v xml:space="preserve"> Massachusetts</v>
      </c>
      <c r="J1223" s="1" t="str">
        <f t="shared" si="39"/>
        <v>Franklin Town city</v>
      </c>
      <c r="K1223" s="1">
        <f>IF(COUNTIF($I$5:I1223,I1223)=1,1,0)</f>
        <v>0</v>
      </c>
    </row>
    <row r="1224" spans="1:11" x14ac:dyDescent="0.2">
      <c r="A1224" s="9">
        <v>1220</v>
      </c>
      <c r="B1224" s="5" t="s">
        <v>1219</v>
      </c>
      <c r="C1224" s="6">
        <v>33066</v>
      </c>
      <c r="D1224" s="6">
        <v>32975</v>
      </c>
      <c r="E1224" s="6">
        <v>33112</v>
      </c>
      <c r="F1224" s="6">
        <v>33077</v>
      </c>
      <c r="G1224" s="6">
        <v>33237</v>
      </c>
      <c r="H1224" s="6">
        <v>33637</v>
      </c>
      <c r="I1224" s="1" t="str">
        <f t="shared" si="38"/>
        <v xml:space="preserve"> New York</v>
      </c>
      <c r="J1224" s="1" t="str">
        <f t="shared" si="39"/>
        <v>Spring Valley village</v>
      </c>
      <c r="K1224" s="1">
        <f>IF(COUNTIF($I$5:I1224,I1224)=1,1,0)</f>
        <v>0</v>
      </c>
    </row>
    <row r="1225" spans="1:11" x14ac:dyDescent="0.2">
      <c r="A1225" s="9">
        <v>1221</v>
      </c>
      <c r="B1225" s="5" t="s">
        <v>1220</v>
      </c>
      <c r="C1225" s="6">
        <v>32984</v>
      </c>
      <c r="D1225" s="6">
        <v>32971</v>
      </c>
      <c r="E1225" s="6">
        <v>33121</v>
      </c>
      <c r="F1225" s="6">
        <v>33292</v>
      </c>
      <c r="G1225" s="6">
        <v>33372</v>
      </c>
      <c r="H1225" s="6">
        <v>33616</v>
      </c>
      <c r="I1225" s="1" t="str">
        <f t="shared" si="38"/>
        <v xml:space="preserve"> Maryland</v>
      </c>
      <c r="J1225" s="1" t="str">
        <f t="shared" si="39"/>
        <v>Salisbury city</v>
      </c>
      <c r="K1225" s="1">
        <f>IF(COUNTIF($I$5:I1225,I1225)=1,1,0)</f>
        <v>0</v>
      </c>
    </row>
    <row r="1226" spans="1:11" x14ac:dyDescent="0.2">
      <c r="A1226" s="9">
        <v>1222</v>
      </c>
      <c r="B1226" s="5" t="s">
        <v>1221</v>
      </c>
      <c r="C1226" s="6">
        <v>32496</v>
      </c>
      <c r="D1226" s="6">
        <v>32521</v>
      </c>
      <c r="E1226" s="6">
        <v>32910</v>
      </c>
      <c r="F1226" s="6">
        <v>33104</v>
      </c>
      <c r="G1226" s="6">
        <v>33523</v>
      </c>
      <c r="H1226" s="6">
        <v>33598</v>
      </c>
      <c r="I1226" s="1" t="str">
        <f t="shared" si="38"/>
        <v xml:space="preserve"> New Hampshire</v>
      </c>
      <c r="J1226" s="1" t="str">
        <f t="shared" si="39"/>
        <v>Rochester city</v>
      </c>
      <c r="K1226" s="1">
        <f>IF(COUNTIF($I$5:I1226,I1226)=1,1,0)</f>
        <v>0</v>
      </c>
    </row>
    <row r="1227" spans="1:11" x14ac:dyDescent="0.2">
      <c r="A1227" s="9">
        <v>1223</v>
      </c>
      <c r="B1227" s="5" t="s">
        <v>1222</v>
      </c>
      <c r="C1227" s="6">
        <v>30879</v>
      </c>
      <c r="D1227" s="6">
        <v>30933</v>
      </c>
      <c r="E1227" s="6">
        <v>31537</v>
      </c>
      <c r="F1227" s="6">
        <v>31842</v>
      </c>
      <c r="G1227" s="6">
        <v>32453</v>
      </c>
      <c r="H1227" s="6">
        <v>33564</v>
      </c>
      <c r="I1227" s="1" t="str">
        <f t="shared" si="38"/>
        <v xml:space="preserve"> Georgia</v>
      </c>
      <c r="J1227" s="1" t="str">
        <f t="shared" si="39"/>
        <v>LaGrange city</v>
      </c>
      <c r="K1227" s="1">
        <f>IF(COUNTIF($I$5:I1227,I1227)=1,1,0)</f>
        <v>0</v>
      </c>
    </row>
    <row r="1228" spans="1:11" x14ac:dyDescent="0.2">
      <c r="A1228" s="9">
        <v>1224</v>
      </c>
      <c r="B1228" s="5" t="s">
        <v>1223</v>
      </c>
      <c r="C1228" s="6">
        <v>35053</v>
      </c>
      <c r="D1228" s="6">
        <v>34872</v>
      </c>
      <c r="E1228" s="6">
        <v>34514</v>
      </c>
      <c r="F1228" s="6">
        <v>34051</v>
      </c>
      <c r="G1228" s="6">
        <v>33752</v>
      </c>
      <c r="H1228" s="6">
        <v>33549</v>
      </c>
      <c r="I1228" s="1" t="str">
        <f t="shared" si="38"/>
        <v xml:space="preserve"> Mississippi</v>
      </c>
      <c r="J1228" s="1" t="str">
        <f t="shared" si="39"/>
        <v>Meridian city</v>
      </c>
      <c r="K1228" s="1">
        <f>IF(COUNTIF($I$5:I1228,I1228)=1,1,0)</f>
        <v>0</v>
      </c>
    </row>
    <row r="1229" spans="1:11" x14ac:dyDescent="0.2">
      <c r="A1229" s="9">
        <v>1225</v>
      </c>
      <c r="B1229" s="5" t="s">
        <v>1224</v>
      </c>
      <c r="C1229" s="6">
        <v>32905</v>
      </c>
      <c r="D1229" s="6">
        <v>32857</v>
      </c>
      <c r="E1229" s="6">
        <v>28621</v>
      </c>
      <c r="F1229" s="6">
        <v>33010</v>
      </c>
      <c r="G1229" s="6">
        <v>33163</v>
      </c>
      <c r="H1229" s="6">
        <v>33543</v>
      </c>
      <c r="I1229" s="1" t="str">
        <f t="shared" si="38"/>
        <v xml:space="preserve"> Washington</v>
      </c>
      <c r="J1229" s="1" t="str">
        <f t="shared" si="39"/>
        <v>Pullman city</v>
      </c>
      <c r="K1229" s="1">
        <f>IF(COUNTIF($I$5:I1229,I1229)=1,1,0)</f>
        <v>0</v>
      </c>
    </row>
    <row r="1230" spans="1:11" x14ac:dyDescent="0.2">
      <c r="A1230" s="9">
        <v>1226</v>
      </c>
      <c r="B1230" s="5" t="s">
        <v>1225</v>
      </c>
      <c r="C1230" s="6">
        <v>32651</v>
      </c>
      <c r="D1230" s="6">
        <v>32559</v>
      </c>
      <c r="E1230" s="6">
        <v>32517</v>
      </c>
      <c r="F1230" s="6">
        <v>32498</v>
      </c>
      <c r="G1230" s="6">
        <v>32758</v>
      </c>
      <c r="H1230" s="6">
        <v>33530</v>
      </c>
      <c r="I1230" s="1" t="str">
        <f t="shared" si="38"/>
        <v xml:space="preserve"> New Jersey</v>
      </c>
      <c r="J1230" s="1" t="str">
        <f t="shared" si="39"/>
        <v>Garfield city</v>
      </c>
      <c r="K1230" s="1">
        <f>IF(COUNTIF($I$5:I1230,I1230)=1,1,0)</f>
        <v>0</v>
      </c>
    </row>
    <row r="1231" spans="1:11" x14ac:dyDescent="0.2">
      <c r="A1231" s="9">
        <v>1227</v>
      </c>
      <c r="B1231" s="5" t="s">
        <v>1226</v>
      </c>
      <c r="C1231" s="6">
        <v>33126</v>
      </c>
      <c r="D1231" s="6">
        <v>33084</v>
      </c>
      <c r="E1231" s="6">
        <v>33097</v>
      </c>
      <c r="F1231" s="6">
        <v>32849</v>
      </c>
      <c r="G1231" s="6">
        <v>32850</v>
      </c>
      <c r="H1231" s="6">
        <v>33482</v>
      </c>
      <c r="I1231" s="1" t="str">
        <f t="shared" si="38"/>
        <v xml:space="preserve"> Illinois</v>
      </c>
      <c r="J1231" s="1" t="str">
        <f t="shared" si="39"/>
        <v>St. Charles city</v>
      </c>
      <c r="K1231" s="1">
        <f>IF(COUNTIF($I$5:I1231,I1231)=1,1,0)</f>
        <v>0</v>
      </c>
    </row>
    <row r="1232" spans="1:11" x14ac:dyDescent="0.2">
      <c r="A1232" s="9">
        <v>1228</v>
      </c>
      <c r="B1232" s="5" t="s">
        <v>1227</v>
      </c>
      <c r="C1232" s="6">
        <v>31108</v>
      </c>
      <c r="D1232" s="6">
        <v>31131</v>
      </c>
      <c r="E1232" s="6">
        <v>31526</v>
      </c>
      <c r="F1232" s="6">
        <v>32036</v>
      </c>
      <c r="G1232" s="6">
        <v>32753</v>
      </c>
      <c r="H1232" s="6">
        <v>33458</v>
      </c>
      <c r="I1232" s="1" t="str">
        <f t="shared" si="38"/>
        <v xml:space="preserve"> Kentucky</v>
      </c>
      <c r="J1232" s="1" t="str">
        <f t="shared" si="39"/>
        <v>Nicholasville city</v>
      </c>
      <c r="K1232" s="1">
        <f>IF(COUNTIF($I$5:I1232,I1232)=1,1,0)</f>
        <v>0</v>
      </c>
    </row>
    <row r="1233" spans="1:11" x14ac:dyDescent="0.2">
      <c r="A1233" s="9">
        <v>1229</v>
      </c>
      <c r="B1233" s="5" t="s">
        <v>1228</v>
      </c>
      <c r="C1233" s="6">
        <v>35499</v>
      </c>
      <c r="D1233" s="6">
        <v>35380</v>
      </c>
      <c r="E1233" s="6">
        <v>34583</v>
      </c>
      <c r="F1233" s="6">
        <v>33996</v>
      </c>
      <c r="G1233" s="6">
        <v>33628</v>
      </c>
      <c r="H1233" s="6">
        <v>33453</v>
      </c>
      <c r="I1233" s="1" t="str">
        <f t="shared" si="38"/>
        <v xml:space="preserve"> California</v>
      </c>
      <c r="J1233" s="1" t="str">
        <f t="shared" si="39"/>
        <v>Manhattan Beach city</v>
      </c>
      <c r="K1233" s="1">
        <f>IF(COUNTIF($I$5:I1233,I1233)=1,1,0)</f>
        <v>0</v>
      </c>
    </row>
    <row r="1234" spans="1:11" x14ac:dyDescent="0.2">
      <c r="A1234" s="9">
        <v>1230</v>
      </c>
      <c r="B1234" s="5" t="s">
        <v>1229</v>
      </c>
      <c r="C1234" s="6">
        <v>31141</v>
      </c>
      <c r="D1234" s="6">
        <v>31603</v>
      </c>
      <c r="E1234" s="6">
        <v>32831</v>
      </c>
      <c r="F1234" s="6">
        <v>33251</v>
      </c>
      <c r="G1234" s="6">
        <v>33149</v>
      </c>
      <c r="H1234" s="6">
        <v>33451</v>
      </c>
      <c r="I1234" s="1" t="str">
        <f t="shared" si="38"/>
        <v xml:space="preserve"> Idaho</v>
      </c>
      <c r="J1234" s="1" t="str">
        <f t="shared" si="39"/>
        <v>Eagle city</v>
      </c>
      <c r="K1234" s="1">
        <f>IF(COUNTIF($I$5:I1234,I1234)=1,1,0)</f>
        <v>0</v>
      </c>
    </row>
    <row r="1235" spans="1:11" x14ac:dyDescent="0.2">
      <c r="A1235" s="9">
        <v>1231</v>
      </c>
      <c r="B1235" s="5" t="s">
        <v>1230</v>
      </c>
      <c r="C1235" s="6">
        <v>29013</v>
      </c>
      <c r="D1235" s="6">
        <v>29169</v>
      </c>
      <c r="E1235" s="6">
        <v>30199</v>
      </c>
      <c r="F1235" s="6">
        <v>31356</v>
      </c>
      <c r="G1235" s="6">
        <v>32347</v>
      </c>
      <c r="H1235" s="6">
        <v>33430</v>
      </c>
      <c r="I1235" s="1" t="str">
        <f t="shared" si="38"/>
        <v xml:space="preserve"> Indiana</v>
      </c>
      <c r="J1235" s="1" t="str">
        <f t="shared" si="39"/>
        <v>Brownsburg town</v>
      </c>
      <c r="K1235" s="1">
        <f>IF(COUNTIF($I$5:I1235,I1235)=1,1,0)</f>
        <v>0</v>
      </c>
    </row>
    <row r="1236" spans="1:11" x14ac:dyDescent="0.2">
      <c r="A1236" s="9">
        <v>1232</v>
      </c>
      <c r="B1236" s="5" t="s">
        <v>1231</v>
      </c>
      <c r="C1236" s="6">
        <v>32598</v>
      </c>
      <c r="D1236" s="6">
        <v>32661</v>
      </c>
      <c r="E1236" s="6">
        <v>32968</v>
      </c>
      <c r="F1236" s="6">
        <v>32982</v>
      </c>
      <c r="G1236" s="6">
        <v>33151</v>
      </c>
      <c r="H1236" s="6">
        <v>33426</v>
      </c>
      <c r="I1236" s="1" t="str">
        <f t="shared" si="38"/>
        <v xml:space="preserve"> Minnesota</v>
      </c>
      <c r="J1236" s="1" t="str">
        <f t="shared" si="39"/>
        <v>Andover city</v>
      </c>
      <c r="K1236" s="1">
        <f>IF(COUNTIF($I$5:I1236,I1236)=1,1,0)</f>
        <v>0</v>
      </c>
    </row>
    <row r="1237" spans="1:11" x14ac:dyDescent="0.2">
      <c r="A1237" s="9">
        <v>1233</v>
      </c>
      <c r="B1237" s="5" t="s">
        <v>1232</v>
      </c>
      <c r="C1237" s="6">
        <v>32759</v>
      </c>
      <c r="D1237" s="6">
        <v>32806</v>
      </c>
      <c r="E1237" s="6">
        <v>33026</v>
      </c>
      <c r="F1237" s="6">
        <v>33105</v>
      </c>
      <c r="G1237" s="6">
        <v>33170</v>
      </c>
      <c r="H1237" s="6">
        <v>33281</v>
      </c>
      <c r="I1237" s="1" t="str">
        <f t="shared" si="38"/>
        <v xml:space="preserve"> Arkansas</v>
      </c>
      <c r="J1237" s="1" t="str">
        <f t="shared" si="39"/>
        <v>Sherwood city</v>
      </c>
      <c r="K1237" s="1">
        <f>IF(COUNTIF($I$5:I1237,I1237)=1,1,0)</f>
        <v>0</v>
      </c>
    </row>
    <row r="1238" spans="1:11" x14ac:dyDescent="0.2">
      <c r="A1238" s="9">
        <v>1234</v>
      </c>
      <c r="B1238" s="5" t="s">
        <v>1233</v>
      </c>
      <c r="C1238" s="6">
        <v>30082</v>
      </c>
      <c r="D1238" s="6">
        <v>30217</v>
      </c>
      <c r="E1238" s="6">
        <v>30730</v>
      </c>
      <c r="F1238" s="6">
        <v>31794</v>
      </c>
      <c r="G1238" s="6">
        <v>32495</v>
      </c>
      <c r="H1238" s="6">
        <v>33274</v>
      </c>
      <c r="I1238" s="1" t="str">
        <f t="shared" si="38"/>
        <v xml:space="preserve"> Arkansas</v>
      </c>
      <c r="J1238" s="1" t="str">
        <f t="shared" si="39"/>
        <v>Bella Vista city</v>
      </c>
      <c r="K1238" s="1">
        <f>IF(COUNTIF($I$5:I1238,I1238)=1,1,0)</f>
        <v>0</v>
      </c>
    </row>
    <row r="1239" spans="1:11" x14ac:dyDescent="0.2">
      <c r="A1239" s="9">
        <v>1235</v>
      </c>
      <c r="B1239" s="5" t="s">
        <v>1234</v>
      </c>
      <c r="C1239" s="6">
        <v>32971</v>
      </c>
      <c r="D1239" s="6">
        <v>33040</v>
      </c>
      <c r="E1239" s="6">
        <v>33098</v>
      </c>
      <c r="F1239" s="6">
        <v>32832</v>
      </c>
      <c r="G1239" s="6">
        <v>33070</v>
      </c>
      <c r="H1239" s="6">
        <v>33252</v>
      </c>
      <c r="I1239" s="1" t="str">
        <f t="shared" si="38"/>
        <v xml:space="preserve"> Utah</v>
      </c>
      <c r="J1239" s="1" t="str">
        <f t="shared" si="39"/>
        <v>Kaysville city</v>
      </c>
      <c r="K1239" s="1">
        <f>IF(COUNTIF($I$5:I1239,I1239)=1,1,0)</f>
        <v>0</v>
      </c>
    </row>
    <row r="1240" spans="1:11" x14ac:dyDescent="0.2">
      <c r="A1240" s="9">
        <v>1236</v>
      </c>
      <c r="B1240" s="5" t="s">
        <v>1235</v>
      </c>
      <c r="C1240" s="6">
        <v>30460</v>
      </c>
      <c r="D1240" s="6">
        <v>30440</v>
      </c>
      <c r="E1240" s="6">
        <v>30460</v>
      </c>
      <c r="F1240" s="6">
        <v>31282</v>
      </c>
      <c r="G1240" s="6">
        <v>32269</v>
      </c>
      <c r="H1240" s="6">
        <v>33247</v>
      </c>
      <c r="I1240" s="1" t="str">
        <f t="shared" si="38"/>
        <v xml:space="preserve"> Florida</v>
      </c>
      <c r="J1240" s="1" t="str">
        <f t="shared" si="39"/>
        <v>Miami Lakes town</v>
      </c>
      <c r="K1240" s="1">
        <f>IF(COUNTIF($I$5:I1240,I1240)=1,1,0)</f>
        <v>0</v>
      </c>
    </row>
    <row r="1241" spans="1:11" x14ac:dyDescent="0.2">
      <c r="A1241" s="9">
        <v>1237</v>
      </c>
      <c r="B1241" s="5" t="s">
        <v>1236</v>
      </c>
      <c r="C1241" s="6">
        <v>34908</v>
      </c>
      <c r="D1241" s="6">
        <v>34795</v>
      </c>
      <c r="E1241" s="6">
        <v>34077</v>
      </c>
      <c r="F1241" s="6">
        <v>33612</v>
      </c>
      <c r="G1241" s="6">
        <v>33337</v>
      </c>
      <c r="H1241" s="6">
        <v>33226</v>
      </c>
      <c r="I1241" s="1" t="str">
        <f t="shared" si="38"/>
        <v xml:space="preserve"> California</v>
      </c>
      <c r="J1241" s="1" t="str">
        <f t="shared" si="39"/>
        <v>San Dimas city</v>
      </c>
      <c r="K1241" s="1">
        <f>IF(COUNTIF($I$5:I1241,I1241)=1,1,0)</f>
        <v>0</v>
      </c>
    </row>
    <row r="1242" spans="1:11" x14ac:dyDescent="0.2">
      <c r="A1242" s="9">
        <v>1238</v>
      </c>
      <c r="B1242" s="5" t="s">
        <v>1237</v>
      </c>
      <c r="C1242" s="6">
        <v>31660</v>
      </c>
      <c r="D1242" s="6">
        <v>31672</v>
      </c>
      <c r="E1242" s="6">
        <v>32448</v>
      </c>
      <c r="F1242" s="6">
        <v>32467</v>
      </c>
      <c r="G1242" s="6">
        <v>32858</v>
      </c>
      <c r="H1242" s="6">
        <v>33214</v>
      </c>
      <c r="I1242" s="1" t="str">
        <f t="shared" si="38"/>
        <v xml:space="preserve"> New Jersey</v>
      </c>
      <c r="J1242" s="1" t="str">
        <f t="shared" si="39"/>
        <v>Long Branch city</v>
      </c>
      <c r="K1242" s="1">
        <f>IF(COUNTIF($I$5:I1242,I1242)=1,1,0)</f>
        <v>0</v>
      </c>
    </row>
    <row r="1243" spans="1:11" x14ac:dyDescent="0.2">
      <c r="A1243" s="9">
        <v>1239</v>
      </c>
      <c r="B1243" s="5" t="s">
        <v>1238</v>
      </c>
      <c r="C1243" s="6">
        <v>32915</v>
      </c>
      <c r="D1243" s="6">
        <v>32889</v>
      </c>
      <c r="E1243" s="6">
        <v>32676</v>
      </c>
      <c r="F1243" s="6">
        <v>32473</v>
      </c>
      <c r="G1243" s="6">
        <v>32820</v>
      </c>
      <c r="H1243" s="6">
        <v>33207</v>
      </c>
      <c r="I1243" s="1" t="str">
        <f t="shared" si="38"/>
        <v xml:space="preserve"> Washington</v>
      </c>
      <c r="J1243" s="1" t="str">
        <f t="shared" si="39"/>
        <v>Des Moines city</v>
      </c>
      <c r="K1243" s="1">
        <f>IF(COUNTIF($I$5:I1243,I1243)=1,1,0)</f>
        <v>0</v>
      </c>
    </row>
    <row r="1244" spans="1:11" x14ac:dyDescent="0.2">
      <c r="A1244" s="9">
        <v>1240</v>
      </c>
      <c r="B1244" s="5" t="s">
        <v>1239</v>
      </c>
      <c r="C1244" s="6">
        <v>30602</v>
      </c>
      <c r="D1244" s="6">
        <v>30837</v>
      </c>
      <c r="E1244" s="6">
        <v>31715</v>
      </c>
      <c r="F1244" s="6">
        <v>32092</v>
      </c>
      <c r="G1244" s="6">
        <v>32571</v>
      </c>
      <c r="H1244" s="6">
        <v>33161</v>
      </c>
      <c r="I1244" s="1" t="str">
        <f t="shared" si="38"/>
        <v xml:space="preserve"> Indiana</v>
      </c>
      <c r="J1244" s="1" t="str">
        <f t="shared" si="39"/>
        <v>Zionsville town</v>
      </c>
      <c r="K1244" s="1">
        <f>IF(COUNTIF($I$5:I1244,I1244)=1,1,0)</f>
        <v>0</v>
      </c>
    </row>
    <row r="1245" spans="1:11" x14ac:dyDescent="0.2">
      <c r="A1245" s="9">
        <v>1241</v>
      </c>
      <c r="B1245" s="5" t="s">
        <v>1240</v>
      </c>
      <c r="C1245" s="6">
        <v>31954</v>
      </c>
      <c r="D1245" s="6">
        <v>31955</v>
      </c>
      <c r="E1245" s="6">
        <v>31976</v>
      </c>
      <c r="F1245" s="6">
        <v>32263</v>
      </c>
      <c r="G1245" s="6">
        <v>32699</v>
      </c>
      <c r="H1245" s="6">
        <v>33157</v>
      </c>
      <c r="I1245" s="1" t="str">
        <f t="shared" si="38"/>
        <v xml:space="preserve"> Georgia</v>
      </c>
      <c r="J1245" s="1" t="str">
        <f t="shared" si="39"/>
        <v>Duluth city</v>
      </c>
      <c r="K1245" s="1">
        <f>IF(COUNTIF($I$5:I1245,I1245)=1,1,0)</f>
        <v>0</v>
      </c>
    </row>
    <row r="1246" spans="1:11" x14ac:dyDescent="0.2">
      <c r="A1246" s="9">
        <v>1242</v>
      </c>
      <c r="B1246" s="5" t="s">
        <v>1241</v>
      </c>
      <c r="C1246" s="6">
        <v>30254</v>
      </c>
      <c r="D1246" s="6">
        <v>30458</v>
      </c>
      <c r="E1246" s="6">
        <v>31185</v>
      </c>
      <c r="F1246" s="6">
        <v>32238</v>
      </c>
      <c r="G1246" s="6">
        <v>32837</v>
      </c>
      <c r="H1246" s="6">
        <v>33144</v>
      </c>
      <c r="I1246" s="1" t="str">
        <f t="shared" si="38"/>
        <v xml:space="preserve"> Florida</v>
      </c>
      <c r="J1246" s="1" t="str">
        <f t="shared" si="39"/>
        <v>New Smyrna Beach city</v>
      </c>
      <c r="K1246" s="1">
        <f>IF(COUNTIF($I$5:I1246,I1246)=1,1,0)</f>
        <v>0</v>
      </c>
    </row>
    <row r="1247" spans="1:11" x14ac:dyDescent="0.2">
      <c r="A1247" s="9">
        <v>1243</v>
      </c>
      <c r="B1247" s="5" t="s">
        <v>1242</v>
      </c>
      <c r="C1247" s="6">
        <v>33911</v>
      </c>
      <c r="D1247" s="6">
        <v>33867</v>
      </c>
      <c r="E1247" s="6">
        <v>33484</v>
      </c>
      <c r="F1247" s="6">
        <v>33239</v>
      </c>
      <c r="G1247" s="6">
        <v>33197</v>
      </c>
      <c r="H1247" s="6">
        <v>33086</v>
      </c>
      <c r="I1247" s="1" t="str">
        <f t="shared" si="38"/>
        <v xml:space="preserve"> Alabama</v>
      </c>
      <c r="J1247" s="1" t="str">
        <f t="shared" si="39"/>
        <v>Gadsden city</v>
      </c>
      <c r="K1247" s="1">
        <f>IF(COUNTIF($I$5:I1247,I1247)=1,1,0)</f>
        <v>0</v>
      </c>
    </row>
    <row r="1248" spans="1:11" x14ac:dyDescent="0.2">
      <c r="A1248" s="9">
        <v>1244</v>
      </c>
      <c r="B1248" s="5" t="s">
        <v>1243</v>
      </c>
      <c r="C1248" s="6">
        <v>31774</v>
      </c>
      <c r="D1248" s="6">
        <v>31730</v>
      </c>
      <c r="E1248" s="6">
        <v>31528</v>
      </c>
      <c r="F1248" s="6">
        <v>31970</v>
      </c>
      <c r="G1248" s="6">
        <v>32568</v>
      </c>
      <c r="H1248" s="6">
        <v>33076</v>
      </c>
      <c r="I1248" s="1" t="str">
        <f t="shared" si="38"/>
        <v xml:space="preserve"> Florida</v>
      </c>
      <c r="J1248" s="1" t="str">
        <f t="shared" si="39"/>
        <v>Dania Beach city</v>
      </c>
      <c r="K1248" s="1">
        <f>IF(COUNTIF($I$5:I1248,I1248)=1,1,0)</f>
        <v>0</v>
      </c>
    </row>
    <row r="1249" spans="1:11" x14ac:dyDescent="0.2">
      <c r="A1249" s="9">
        <v>1245</v>
      </c>
      <c r="B1249" s="5" t="s">
        <v>1244</v>
      </c>
      <c r="C1249" s="6">
        <v>33782</v>
      </c>
      <c r="D1249" s="6">
        <v>33689</v>
      </c>
      <c r="E1249" s="6">
        <v>32560</v>
      </c>
      <c r="F1249" s="6">
        <v>32097</v>
      </c>
      <c r="G1249" s="6">
        <v>32290</v>
      </c>
      <c r="H1249" s="6">
        <v>33040</v>
      </c>
      <c r="I1249" s="1" t="str">
        <f t="shared" si="38"/>
        <v xml:space="preserve"> California</v>
      </c>
      <c r="J1249" s="1" t="str">
        <f t="shared" si="39"/>
        <v>Menlo Park city</v>
      </c>
      <c r="K1249" s="1">
        <f>IF(COUNTIF($I$5:I1249,I1249)=1,1,0)</f>
        <v>0</v>
      </c>
    </row>
    <row r="1250" spans="1:11" x14ac:dyDescent="0.2">
      <c r="A1250" s="9">
        <v>1246</v>
      </c>
      <c r="B1250" s="5" t="s">
        <v>1245</v>
      </c>
      <c r="C1250" s="6">
        <v>27111</v>
      </c>
      <c r="D1250" s="6">
        <v>27083</v>
      </c>
      <c r="E1250" s="6">
        <v>29015</v>
      </c>
      <c r="F1250" s="6">
        <v>30674</v>
      </c>
      <c r="G1250" s="6">
        <v>32624</v>
      </c>
      <c r="H1250" s="6">
        <v>33008</v>
      </c>
      <c r="I1250" s="1" t="str">
        <f t="shared" si="38"/>
        <v xml:space="preserve"> Texas</v>
      </c>
      <c r="J1250" s="1" t="str">
        <f t="shared" si="39"/>
        <v>Sachse city</v>
      </c>
      <c r="K1250" s="1">
        <f>IF(COUNTIF($I$5:I1250,I1250)=1,1,0)</f>
        <v>0</v>
      </c>
    </row>
    <row r="1251" spans="1:11" x14ac:dyDescent="0.2">
      <c r="A1251" s="9">
        <v>1247</v>
      </c>
      <c r="B1251" s="5" t="s">
        <v>1246</v>
      </c>
      <c r="C1251" s="6">
        <v>30446</v>
      </c>
      <c r="D1251" s="6">
        <v>30479</v>
      </c>
      <c r="E1251" s="6">
        <v>30549</v>
      </c>
      <c r="F1251" s="6">
        <v>31466</v>
      </c>
      <c r="G1251" s="6">
        <v>32222</v>
      </c>
      <c r="H1251" s="6">
        <v>32994</v>
      </c>
      <c r="I1251" s="1" t="str">
        <f t="shared" si="38"/>
        <v xml:space="preserve"> Tennessee</v>
      </c>
      <c r="J1251" s="1" t="str">
        <f t="shared" si="39"/>
        <v>Morristown city</v>
      </c>
      <c r="K1251" s="1">
        <f>IF(COUNTIF($I$5:I1251,I1251)=1,1,0)</f>
        <v>0</v>
      </c>
    </row>
    <row r="1252" spans="1:11" x14ac:dyDescent="0.2">
      <c r="A1252" s="9">
        <v>1248</v>
      </c>
      <c r="B1252" s="5" t="s">
        <v>1247</v>
      </c>
      <c r="C1252" s="6">
        <v>30197</v>
      </c>
      <c r="D1252" s="6">
        <v>30231</v>
      </c>
      <c r="E1252" s="6">
        <v>30571</v>
      </c>
      <c r="F1252" s="6">
        <v>31337</v>
      </c>
      <c r="G1252" s="6">
        <v>32228</v>
      </c>
      <c r="H1252" s="6">
        <v>32971</v>
      </c>
      <c r="I1252" s="1" t="str">
        <f t="shared" si="38"/>
        <v xml:space="preserve"> North Carolina</v>
      </c>
      <c r="J1252" s="1" t="str">
        <f t="shared" si="39"/>
        <v>Sanford city</v>
      </c>
      <c r="K1252" s="1">
        <f>IF(COUNTIF($I$5:I1252,I1252)=1,1,0)</f>
        <v>0</v>
      </c>
    </row>
    <row r="1253" spans="1:11" x14ac:dyDescent="0.2">
      <c r="A1253" s="9">
        <v>1249</v>
      </c>
      <c r="B1253" s="5" t="s">
        <v>1248</v>
      </c>
      <c r="C1253" s="6">
        <v>31413</v>
      </c>
      <c r="D1253" s="6">
        <v>31432</v>
      </c>
      <c r="E1253" s="6">
        <v>31996</v>
      </c>
      <c r="F1253" s="6">
        <v>32340</v>
      </c>
      <c r="G1253" s="6">
        <v>32441</v>
      </c>
      <c r="H1253" s="6">
        <v>32957</v>
      </c>
      <c r="I1253" s="1" t="str">
        <f t="shared" si="38"/>
        <v xml:space="preserve"> Wyoming</v>
      </c>
      <c r="J1253" s="1" t="str">
        <f t="shared" si="39"/>
        <v>Laramie city</v>
      </c>
      <c r="K1253" s="1">
        <f>IF(COUNTIF($I$5:I1253,I1253)=1,1,0)</f>
        <v>0</v>
      </c>
    </row>
    <row r="1254" spans="1:11" x14ac:dyDescent="0.2">
      <c r="A1254" s="9">
        <v>1250</v>
      </c>
      <c r="B1254" s="5" t="s">
        <v>1249</v>
      </c>
      <c r="C1254" s="6">
        <v>33542</v>
      </c>
      <c r="D1254" s="6">
        <v>33418</v>
      </c>
      <c r="E1254" s="6">
        <v>32521</v>
      </c>
      <c r="F1254" s="6">
        <v>32411</v>
      </c>
      <c r="G1254" s="6">
        <v>32590</v>
      </c>
      <c r="H1254" s="6">
        <v>32952</v>
      </c>
      <c r="I1254" s="1" t="str">
        <f t="shared" si="38"/>
        <v xml:space="preserve"> California</v>
      </c>
      <c r="J1254" s="1" t="str">
        <f t="shared" si="39"/>
        <v>Los Gatos town</v>
      </c>
      <c r="K1254" s="1">
        <f>IF(COUNTIF($I$5:I1254,I1254)=1,1,0)</f>
        <v>0</v>
      </c>
    </row>
    <row r="1255" spans="1:11" x14ac:dyDescent="0.2">
      <c r="A1255" s="9">
        <v>1251</v>
      </c>
      <c r="B1255" s="5" t="s">
        <v>1250</v>
      </c>
      <c r="C1255" s="6">
        <v>32453</v>
      </c>
      <c r="D1255" s="6">
        <v>32578</v>
      </c>
      <c r="E1255" s="6">
        <v>33023</v>
      </c>
      <c r="F1255" s="6">
        <v>32935</v>
      </c>
      <c r="G1255" s="6">
        <v>33031</v>
      </c>
      <c r="H1255" s="6">
        <v>32896</v>
      </c>
      <c r="I1255" s="1" t="str">
        <f t="shared" si="38"/>
        <v xml:space="preserve"> Minnesota</v>
      </c>
      <c r="J1255" s="1" t="str">
        <f t="shared" si="39"/>
        <v>Savage city</v>
      </c>
      <c r="K1255" s="1">
        <f>IF(COUNTIF($I$5:I1255,I1255)=1,1,0)</f>
        <v>0</v>
      </c>
    </row>
    <row r="1256" spans="1:11" x14ac:dyDescent="0.2">
      <c r="A1256" s="9">
        <v>1252</v>
      </c>
      <c r="B1256" s="5" t="s">
        <v>1251</v>
      </c>
      <c r="C1256" s="6">
        <v>33179</v>
      </c>
      <c r="D1256" s="6">
        <v>33100</v>
      </c>
      <c r="E1256" s="6">
        <v>32810</v>
      </c>
      <c r="F1256" s="6">
        <v>32599</v>
      </c>
      <c r="G1256" s="6">
        <v>32652</v>
      </c>
      <c r="H1256" s="6">
        <v>32866</v>
      </c>
      <c r="I1256" s="1" t="str">
        <f t="shared" si="38"/>
        <v xml:space="preserve"> Illinois</v>
      </c>
      <c r="J1256" s="1" t="str">
        <f t="shared" si="39"/>
        <v>Glendale Heights village</v>
      </c>
      <c r="K1256" s="1">
        <f>IF(COUNTIF($I$5:I1256,I1256)=1,1,0)</f>
        <v>0</v>
      </c>
    </row>
    <row r="1257" spans="1:11" x14ac:dyDescent="0.2">
      <c r="A1257" s="9">
        <v>1253</v>
      </c>
      <c r="B1257" s="5" t="s">
        <v>1252</v>
      </c>
      <c r="C1257" s="6">
        <v>29085</v>
      </c>
      <c r="D1257" s="6">
        <v>29356</v>
      </c>
      <c r="E1257" s="6">
        <v>29941</v>
      </c>
      <c r="F1257" s="6">
        <v>30380</v>
      </c>
      <c r="G1257" s="6">
        <v>32203</v>
      </c>
      <c r="H1257" s="6">
        <v>32803</v>
      </c>
      <c r="I1257" s="1" t="str">
        <f t="shared" si="38"/>
        <v xml:space="preserve"> Georgia</v>
      </c>
      <c r="J1257" s="1" t="str">
        <f t="shared" si="39"/>
        <v>McDonough city</v>
      </c>
      <c r="K1257" s="1">
        <f>IF(COUNTIF($I$5:I1257,I1257)=1,1,0)</f>
        <v>0</v>
      </c>
    </row>
    <row r="1258" spans="1:11" x14ac:dyDescent="0.2">
      <c r="A1258" s="9">
        <v>1254</v>
      </c>
      <c r="B1258" s="5" t="s">
        <v>1253</v>
      </c>
      <c r="C1258" s="6">
        <v>32039</v>
      </c>
      <c r="D1258" s="6">
        <v>32048</v>
      </c>
      <c r="E1258" s="6">
        <v>32146</v>
      </c>
      <c r="F1258" s="6">
        <v>32254</v>
      </c>
      <c r="G1258" s="6">
        <v>32454</v>
      </c>
      <c r="H1258" s="6">
        <v>32750</v>
      </c>
      <c r="I1258" s="1" t="str">
        <f t="shared" si="38"/>
        <v xml:space="preserve"> Ohio</v>
      </c>
      <c r="J1258" s="1" t="str">
        <f t="shared" si="39"/>
        <v>Massillon city</v>
      </c>
      <c r="K1258" s="1">
        <f>IF(COUNTIF($I$5:I1258,I1258)=1,1,0)</f>
        <v>0</v>
      </c>
    </row>
    <row r="1259" spans="1:11" x14ac:dyDescent="0.2">
      <c r="A1259" s="9">
        <v>1255</v>
      </c>
      <c r="B1259" s="5" t="s">
        <v>1254</v>
      </c>
      <c r="C1259" s="6">
        <v>32126</v>
      </c>
      <c r="D1259" s="6">
        <v>32158</v>
      </c>
      <c r="E1259" s="6">
        <v>32302</v>
      </c>
      <c r="F1259" s="6">
        <v>32507</v>
      </c>
      <c r="G1259" s="6">
        <v>32948</v>
      </c>
      <c r="H1259" s="6">
        <v>32694</v>
      </c>
      <c r="I1259" s="1" t="str">
        <f t="shared" si="38"/>
        <v xml:space="preserve"> South Carolina</v>
      </c>
      <c r="J1259" s="1" t="str">
        <f t="shared" si="39"/>
        <v>Aiken city</v>
      </c>
      <c r="K1259" s="1">
        <f>IF(COUNTIF($I$5:I1259,I1259)=1,1,0)</f>
        <v>0</v>
      </c>
    </row>
    <row r="1260" spans="1:11" x14ac:dyDescent="0.2">
      <c r="A1260" s="9">
        <v>1256</v>
      </c>
      <c r="B1260" s="5" t="s">
        <v>1255</v>
      </c>
      <c r="C1260" s="6">
        <v>33809</v>
      </c>
      <c r="D1260" s="6">
        <v>33737</v>
      </c>
      <c r="E1260" s="6">
        <v>32742</v>
      </c>
      <c r="F1260" s="6">
        <v>32453</v>
      </c>
      <c r="G1260" s="6">
        <v>32442</v>
      </c>
      <c r="H1260" s="6">
        <v>32657</v>
      </c>
      <c r="I1260" s="1" t="str">
        <f t="shared" si="38"/>
        <v xml:space="preserve"> California</v>
      </c>
      <c r="J1260" s="1" t="str">
        <f t="shared" si="39"/>
        <v>Foster City city</v>
      </c>
      <c r="K1260" s="1">
        <f>IF(COUNTIF($I$5:I1260,I1260)=1,1,0)</f>
        <v>0</v>
      </c>
    </row>
    <row r="1261" spans="1:11" x14ac:dyDescent="0.2">
      <c r="A1261" s="9">
        <v>1257</v>
      </c>
      <c r="B1261" s="5" t="s">
        <v>1256</v>
      </c>
      <c r="C1261" s="6">
        <v>31576</v>
      </c>
      <c r="D1261" s="6">
        <v>31539</v>
      </c>
      <c r="E1261" s="6">
        <v>31590</v>
      </c>
      <c r="F1261" s="6">
        <v>31746</v>
      </c>
      <c r="G1261" s="6">
        <v>32038</v>
      </c>
      <c r="H1261" s="6">
        <v>32641</v>
      </c>
      <c r="I1261" s="1" t="str">
        <f t="shared" si="38"/>
        <v xml:space="preserve"> Illinois</v>
      </c>
      <c r="J1261" s="1" t="str">
        <f t="shared" si="39"/>
        <v>Mundelein village</v>
      </c>
      <c r="K1261" s="1">
        <f>IF(COUNTIF($I$5:I1261,I1261)=1,1,0)</f>
        <v>0</v>
      </c>
    </row>
    <row r="1262" spans="1:11" x14ac:dyDescent="0.2">
      <c r="A1262" s="9">
        <v>1258</v>
      </c>
      <c r="B1262" s="5" t="s">
        <v>1257</v>
      </c>
      <c r="C1262" s="6">
        <v>29811</v>
      </c>
      <c r="D1262" s="6">
        <v>30072</v>
      </c>
      <c r="E1262" s="6">
        <v>31416</v>
      </c>
      <c r="F1262" s="6">
        <v>31647</v>
      </c>
      <c r="G1262" s="6">
        <v>32080</v>
      </c>
      <c r="H1262" s="6">
        <v>32628</v>
      </c>
      <c r="I1262" s="1" t="str">
        <f t="shared" si="38"/>
        <v xml:space="preserve"> North Carolina</v>
      </c>
      <c r="J1262" s="1" t="str">
        <f t="shared" si="39"/>
        <v>Morrisville town</v>
      </c>
      <c r="K1262" s="1">
        <f>IF(COUNTIF($I$5:I1262,I1262)=1,1,0)</f>
        <v>0</v>
      </c>
    </row>
    <row r="1263" spans="1:11" x14ac:dyDescent="0.2">
      <c r="A1263" s="9">
        <v>1259</v>
      </c>
      <c r="B1263" s="5" t="s">
        <v>1258</v>
      </c>
      <c r="C1263" s="6">
        <v>32692</v>
      </c>
      <c r="D1263" s="6">
        <v>32762</v>
      </c>
      <c r="E1263" s="6">
        <v>32727</v>
      </c>
      <c r="F1263" s="6">
        <v>32669</v>
      </c>
      <c r="G1263" s="6">
        <v>32664</v>
      </c>
      <c r="H1263" s="6">
        <v>32611</v>
      </c>
      <c r="I1263" s="1" t="str">
        <f t="shared" si="38"/>
        <v xml:space="preserve"> California</v>
      </c>
      <c r="J1263" s="1" t="str">
        <f t="shared" si="39"/>
        <v>Goleta city</v>
      </c>
      <c r="K1263" s="1">
        <f>IF(COUNTIF($I$5:I1263,I1263)=1,1,0)</f>
        <v>0</v>
      </c>
    </row>
    <row r="1264" spans="1:11" x14ac:dyDescent="0.2">
      <c r="A1264" s="9">
        <v>1260</v>
      </c>
      <c r="B1264" s="5" t="s">
        <v>1259</v>
      </c>
      <c r="C1264" s="6">
        <v>25434</v>
      </c>
      <c r="D1264" s="6">
        <v>25733</v>
      </c>
      <c r="E1264" s="6">
        <v>27070</v>
      </c>
      <c r="F1264" s="6">
        <v>28648</v>
      </c>
      <c r="G1264" s="6">
        <v>30946</v>
      </c>
      <c r="H1264" s="6">
        <v>32587</v>
      </c>
      <c r="I1264" s="1" t="str">
        <f t="shared" si="38"/>
        <v xml:space="preserve"> Alabama</v>
      </c>
      <c r="J1264" s="1" t="str">
        <f t="shared" si="39"/>
        <v>Athens city</v>
      </c>
      <c r="K1264" s="1">
        <f>IF(COUNTIF($I$5:I1264,I1264)=1,1,0)</f>
        <v>0</v>
      </c>
    </row>
    <row r="1265" spans="1:11" x14ac:dyDescent="0.2">
      <c r="A1265" s="9">
        <v>1261</v>
      </c>
      <c r="B1265" s="5" t="s">
        <v>1260</v>
      </c>
      <c r="C1265" s="6">
        <v>33108</v>
      </c>
      <c r="D1265" s="6">
        <v>33067</v>
      </c>
      <c r="E1265" s="6">
        <v>32829</v>
      </c>
      <c r="F1265" s="6">
        <v>32757</v>
      </c>
      <c r="G1265" s="6">
        <v>32644</v>
      </c>
      <c r="H1265" s="6">
        <v>32585</v>
      </c>
      <c r="I1265" s="1" t="str">
        <f t="shared" si="38"/>
        <v xml:space="preserve"> California</v>
      </c>
      <c r="J1265" s="1" t="str">
        <f t="shared" si="39"/>
        <v>Dana Point city</v>
      </c>
      <c r="K1265" s="1">
        <f>IF(COUNTIF($I$5:I1265,I1265)=1,1,0)</f>
        <v>0</v>
      </c>
    </row>
    <row r="1266" spans="1:11" x14ac:dyDescent="0.2">
      <c r="A1266" s="9">
        <v>1262</v>
      </c>
      <c r="B1266" s="5" t="s">
        <v>1261</v>
      </c>
      <c r="C1266" s="6">
        <v>31740</v>
      </c>
      <c r="D1266" s="6">
        <v>31720</v>
      </c>
      <c r="E1266" s="6">
        <v>31505</v>
      </c>
      <c r="F1266" s="6">
        <v>31607</v>
      </c>
      <c r="G1266" s="6">
        <v>32400</v>
      </c>
      <c r="H1266" s="6">
        <v>32446</v>
      </c>
      <c r="I1266" s="1" t="str">
        <f t="shared" si="38"/>
        <v xml:space="preserve"> Maine</v>
      </c>
      <c r="J1266" s="1" t="str">
        <f t="shared" si="39"/>
        <v>Bangor city</v>
      </c>
      <c r="K1266" s="1">
        <f>IF(COUNTIF($I$5:I1266,I1266)=1,1,0)</f>
        <v>0</v>
      </c>
    </row>
    <row r="1267" spans="1:11" x14ac:dyDescent="0.2">
      <c r="A1267" s="9">
        <v>1263</v>
      </c>
      <c r="B1267" s="5" t="s">
        <v>1262</v>
      </c>
      <c r="C1267" s="6">
        <v>33612</v>
      </c>
      <c r="D1267" s="6">
        <v>33519</v>
      </c>
      <c r="E1267" s="6">
        <v>32917</v>
      </c>
      <c r="F1267" s="6">
        <v>32638</v>
      </c>
      <c r="G1267" s="6">
        <v>32568</v>
      </c>
      <c r="H1267" s="6">
        <v>32437</v>
      </c>
      <c r="I1267" s="1" t="str">
        <f t="shared" si="38"/>
        <v xml:space="preserve"> Utah</v>
      </c>
      <c r="J1267" s="1" t="str">
        <f t="shared" si="39"/>
        <v>Cottonwood Heights city</v>
      </c>
      <c r="K1267" s="1">
        <f>IF(COUNTIF($I$5:I1267,I1267)=1,1,0)</f>
        <v>0</v>
      </c>
    </row>
    <row r="1268" spans="1:11" x14ac:dyDescent="0.2">
      <c r="A1268" s="9">
        <v>1264</v>
      </c>
      <c r="B1268" s="5" t="s">
        <v>1263</v>
      </c>
      <c r="C1268" s="6">
        <v>32153</v>
      </c>
      <c r="D1268" s="6">
        <v>32115</v>
      </c>
      <c r="E1268" s="6">
        <v>32061</v>
      </c>
      <c r="F1268" s="6">
        <v>32042</v>
      </c>
      <c r="G1268" s="6">
        <v>32413</v>
      </c>
      <c r="H1268" s="6">
        <v>32381</v>
      </c>
      <c r="I1268" s="1" t="str">
        <f t="shared" si="38"/>
        <v xml:space="preserve"> Texas</v>
      </c>
      <c r="J1268" s="1" t="str">
        <f t="shared" si="39"/>
        <v>Nacogdoches city</v>
      </c>
      <c r="K1268" s="1">
        <f>IF(COUNTIF($I$5:I1268,I1268)=1,1,0)</f>
        <v>0</v>
      </c>
    </row>
    <row r="1269" spans="1:11" x14ac:dyDescent="0.2">
      <c r="A1269" s="9">
        <v>1265</v>
      </c>
      <c r="B1269" s="5" t="s">
        <v>1264</v>
      </c>
      <c r="C1269" s="6">
        <v>33565</v>
      </c>
      <c r="D1269" s="6">
        <v>33515</v>
      </c>
      <c r="E1269" s="6">
        <v>33177</v>
      </c>
      <c r="F1269" s="6">
        <v>32788</v>
      </c>
      <c r="G1269" s="6">
        <v>32531</v>
      </c>
      <c r="H1269" s="6">
        <v>32376</v>
      </c>
      <c r="I1269" s="1" t="str">
        <f t="shared" si="38"/>
        <v xml:space="preserve"> Pennsylvania</v>
      </c>
      <c r="J1269" s="1" t="str">
        <f t="shared" si="39"/>
        <v>Bethel Park municipality</v>
      </c>
      <c r="K1269" s="1">
        <f>IF(COUNTIF($I$5:I1269,I1269)=1,1,0)</f>
        <v>0</v>
      </c>
    </row>
    <row r="1270" spans="1:11" x14ac:dyDescent="0.2">
      <c r="A1270" s="9">
        <v>1266</v>
      </c>
      <c r="B1270" s="5" t="s">
        <v>1265</v>
      </c>
      <c r="C1270" s="6">
        <v>31920</v>
      </c>
      <c r="D1270" s="6">
        <v>32012</v>
      </c>
      <c r="E1270" s="6">
        <v>32319</v>
      </c>
      <c r="F1270" s="6">
        <v>32692</v>
      </c>
      <c r="G1270" s="6">
        <v>32442</v>
      </c>
      <c r="H1270" s="6">
        <v>32373</v>
      </c>
      <c r="I1270" s="1" t="str">
        <f t="shared" si="38"/>
        <v xml:space="preserve"> Tennessee</v>
      </c>
      <c r="J1270" s="1" t="str">
        <f t="shared" si="39"/>
        <v>Maryville city</v>
      </c>
      <c r="K1270" s="1">
        <f>IF(COUNTIF($I$5:I1270,I1270)=1,1,0)</f>
        <v>0</v>
      </c>
    </row>
    <row r="1271" spans="1:11" x14ac:dyDescent="0.2">
      <c r="A1271" s="9">
        <v>1267</v>
      </c>
      <c r="B1271" s="5" t="s">
        <v>1266</v>
      </c>
      <c r="C1271" s="6">
        <v>30150</v>
      </c>
      <c r="D1271" s="6">
        <v>30212</v>
      </c>
      <c r="E1271" s="6">
        <v>29847</v>
      </c>
      <c r="F1271" s="6">
        <v>29934</v>
      </c>
      <c r="G1271" s="6">
        <v>32029</v>
      </c>
      <c r="H1271" s="6">
        <v>32321</v>
      </c>
      <c r="I1271" s="1" t="str">
        <f t="shared" si="38"/>
        <v xml:space="preserve"> Georgia</v>
      </c>
      <c r="J1271" s="1" t="str">
        <f t="shared" si="39"/>
        <v>Chamblee city</v>
      </c>
      <c r="K1271" s="1">
        <f>IF(COUNTIF($I$5:I1271,I1271)=1,1,0)</f>
        <v>0</v>
      </c>
    </row>
    <row r="1272" spans="1:11" x14ac:dyDescent="0.2">
      <c r="A1272" s="9">
        <v>1268</v>
      </c>
      <c r="B1272" s="5" t="s">
        <v>1267</v>
      </c>
      <c r="C1272" s="6">
        <v>31593</v>
      </c>
      <c r="D1272" s="6">
        <v>31568</v>
      </c>
      <c r="E1272" s="6">
        <v>32046</v>
      </c>
      <c r="F1272" s="6">
        <v>31967</v>
      </c>
      <c r="G1272" s="6">
        <v>31882</v>
      </c>
      <c r="H1272" s="6">
        <v>32293</v>
      </c>
      <c r="I1272" s="1" t="str">
        <f t="shared" si="38"/>
        <v xml:space="preserve"> New York</v>
      </c>
      <c r="J1272" s="1" t="str">
        <f t="shared" si="39"/>
        <v>Poughkeepsie city</v>
      </c>
      <c r="K1272" s="1">
        <f>IF(COUNTIF($I$5:I1272,I1272)=1,1,0)</f>
        <v>0</v>
      </c>
    </row>
    <row r="1273" spans="1:11" x14ac:dyDescent="0.2">
      <c r="A1273" s="9">
        <v>1269</v>
      </c>
      <c r="B1273" s="5" t="s">
        <v>1268</v>
      </c>
      <c r="C1273" s="6">
        <v>31975</v>
      </c>
      <c r="D1273" s="6">
        <v>31939</v>
      </c>
      <c r="E1273" s="6">
        <v>32159</v>
      </c>
      <c r="F1273" s="6">
        <v>32282</v>
      </c>
      <c r="G1273" s="6">
        <v>32205</v>
      </c>
      <c r="H1273" s="6">
        <v>32248</v>
      </c>
      <c r="I1273" s="1" t="str">
        <f t="shared" si="38"/>
        <v xml:space="preserve"> California</v>
      </c>
      <c r="J1273" s="1" t="str">
        <f t="shared" si="39"/>
        <v>Atwater city</v>
      </c>
      <c r="K1273" s="1">
        <f>IF(COUNTIF($I$5:I1273,I1273)=1,1,0)</f>
        <v>0</v>
      </c>
    </row>
    <row r="1274" spans="1:11" x14ac:dyDescent="0.2">
      <c r="A1274" s="9">
        <v>1270</v>
      </c>
      <c r="B1274" s="5" t="s">
        <v>1269</v>
      </c>
      <c r="C1274" s="6">
        <v>32432</v>
      </c>
      <c r="D1274" s="6">
        <v>32413</v>
      </c>
      <c r="E1274" s="6">
        <v>32389</v>
      </c>
      <c r="F1274" s="6">
        <v>32247</v>
      </c>
      <c r="G1274" s="6">
        <v>32186</v>
      </c>
      <c r="H1274" s="6">
        <v>32169</v>
      </c>
      <c r="I1274" s="1" t="str">
        <f t="shared" si="38"/>
        <v xml:space="preserve"> Illinois</v>
      </c>
      <c r="J1274" s="1" t="str">
        <f t="shared" si="39"/>
        <v>O'Fallon city</v>
      </c>
      <c r="K1274" s="1">
        <f>IF(COUNTIF($I$5:I1274,I1274)=1,1,0)</f>
        <v>0</v>
      </c>
    </row>
    <row r="1275" spans="1:11" x14ac:dyDescent="0.2">
      <c r="A1275" s="9">
        <v>1271</v>
      </c>
      <c r="B1275" s="5" t="s">
        <v>1270</v>
      </c>
      <c r="C1275" s="6">
        <v>31746</v>
      </c>
      <c r="D1275" s="6">
        <v>31745</v>
      </c>
      <c r="E1275" s="6">
        <v>31848</v>
      </c>
      <c r="F1275" s="6">
        <v>32222</v>
      </c>
      <c r="G1275" s="6">
        <v>32226</v>
      </c>
      <c r="H1275" s="6">
        <v>32149</v>
      </c>
      <c r="I1275" s="1" t="str">
        <f t="shared" si="38"/>
        <v xml:space="preserve"> Wisconsin</v>
      </c>
      <c r="J1275" s="1" t="str">
        <f t="shared" si="39"/>
        <v>West Bend city</v>
      </c>
      <c r="K1275" s="1">
        <f>IF(COUNTIF($I$5:I1275,I1275)=1,1,0)</f>
        <v>0</v>
      </c>
    </row>
    <row r="1276" spans="1:11" x14ac:dyDescent="0.2">
      <c r="A1276" s="9">
        <v>1272</v>
      </c>
      <c r="B1276" s="5" t="s">
        <v>1271</v>
      </c>
      <c r="C1276" s="6">
        <v>31581</v>
      </c>
      <c r="D1276" s="6">
        <v>31494</v>
      </c>
      <c r="E1276" s="6">
        <v>31627</v>
      </c>
      <c r="F1276" s="6">
        <v>31725</v>
      </c>
      <c r="G1276" s="6">
        <v>31947</v>
      </c>
      <c r="H1276" s="6">
        <v>32116</v>
      </c>
      <c r="I1276" s="1" t="str">
        <f t="shared" si="38"/>
        <v xml:space="preserve"> Connecticut</v>
      </c>
      <c r="J1276" s="1" t="str">
        <f t="shared" si="39"/>
        <v>Naugatuck borough</v>
      </c>
      <c r="K1276" s="1">
        <f>IF(COUNTIF($I$5:I1276,I1276)=1,1,0)</f>
        <v>0</v>
      </c>
    </row>
    <row r="1277" spans="1:11" x14ac:dyDescent="0.2">
      <c r="A1277" s="9">
        <v>1273</v>
      </c>
      <c r="B1277" s="5" t="s">
        <v>1272</v>
      </c>
      <c r="C1277" s="6">
        <v>31274</v>
      </c>
      <c r="D1277" s="6">
        <v>31311</v>
      </c>
      <c r="E1277" s="6">
        <v>31547</v>
      </c>
      <c r="F1277" s="6">
        <v>31649</v>
      </c>
      <c r="G1277" s="6">
        <v>31818</v>
      </c>
      <c r="H1277" s="6">
        <v>32092</v>
      </c>
      <c r="I1277" s="1" t="str">
        <f t="shared" si="38"/>
        <v xml:space="preserve"> Oklahoma</v>
      </c>
      <c r="J1277" s="1" t="str">
        <f t="shared" si="39"/>
        <v>Shawnee city</v>
      </c>
      <c r="K1277" s="1">
        <f>IF(COUNTIF($I$5:I1277,I1277)=1,1,0)</f>
        <v>0</v>
      </c>
    </row>
    <row r="1278" spans="1:11" x14ac:dyDescent="0.2">
      <c r="A1278" s="9">
        <v>1274</v>
      </c>
      <c r="B1278" s="5" t="s">
        <v>1273</v>
      </c>
      <c r="C1278" s="6">
        <v>32666</v>
      </c>
      <c r="D1278" s="6">
        <v>32620</v>
      </c>
      <c r="E1278" s="6">
        <v>32456</v>
      </c>
      <c r="F1278" s="6">
        <v>32256</v>
      </c>
      <c r="G1278" s="6">
        <v>32179</v>
      </c>
      <c r="H1278" s="6">
        <v>32086</v>
      </c>
      <c r="I1278" s="1" t="str">
        <f t="shared" si="38"/>
        <v xml:space="preserve"> Michigan</v>
      </c>
      <c r="J1278" s="1" t="str">
        <f t="shared" si="39"/>
        <v>Bay City city</v>
      </c>
      <c r="K1278" s="1">
        <f>IF(COUNTIF($I$5:I1278,I1278)=1,1,0)</f>
        <v>0</v>
      </c>
    </row>
    <row r="1279" spans="1:11" x14ac:dyDescent="0.2">
      <c r="A1279" s="9">
        <v>1275</v>
      </c>
      <c r="B1279" s="5" t="s">
        <v>1274</v>
      </c>
      <c r="C1279" s="6">
        <v>31039</v>
      </c>
      <c r="D1279" s="6">
        <v>30898</v>
      </c>
      <c r="E1279" s="6">
        <v>30843</v>
      </c>
      <c r="F1279" s="6">
        <v>30755</v>
      </c>
      <c r="G1279" s="6">
        <v>31064</v>
      </c>
      <c r="H1279" s="6">
        <v>32050</v>
      </c>
      <c r="I1279" s="1" t="str">
        <f t="shared" si="38"/>
        <v xml:space="preserve"> New Jersey</v>
      </c>
      <c r="J1279" s="1" t="str">
        <f t="shared" si="39"/>
        <v>Westfield town</v>
      </c>
      <c r="K1279" s="1">
        <f>IF(COUNTIF($I$5:I1279,I1279)=1,1,0)</f>
        <v>0</v>
      </c>
    </row>
    <row r="1280" spans="1:11" x14ac:dyDescent="0.2">
      <c r="A1280" s="9">
        <v>1276</v>
      </c>
      <c r="B1280" s="5" t="s">
        <v>1275</v>
      </c>
      <c r="C1280" s="6">
        <v>29427</v>
      </c>
      <c r="D1280" s="6">
        <v>29520</v>
      </c>
      <c r="E1280" s="6">
        <v>29605</v>
      </c>
      <c r="F1280" s="6">
        <v>30577</v>
      </c>
      <c r="G1280" s="6">
        <v>31246</v>
      </c>
      <c r="H1280" s="6">
        <v>32048</v>
      </c>
      <c r="I1280" s="1" t="str">
        <f t="shared" si="38"/>
        <v xml:space="preserve"> North Carolina</v>
      </c>
      <c r="J1280" s="1" t="str">
        <f t="shared" si="39"/>
        <v>Matthews town</v>
      </c>
      <c r="K1280" s="1">
        <f>IF(COUNTIF($I$5:I1280,I1280)=1,1,0)</f>
        <v>0</v>
      </c>
    </row>
    <row r="1281" spans="1:11" x14ac:dyDescent="0.2">
      <c r="A1281" s="9">
        <v>1277</v>
      </c>
      <c r="B1281" s="5" t="s">
        <v>1276</v>
      </c>
      <c r="C1281" s="6">
        <v>32401</v>
      </c>
      <c r="D1281" s="6">
        <v>32383</v>
      </c>
      <c r="E1281" s="6">
        <v>32333</v>
      </c>
      <c r="F1281" s="6">
        <v>31897</v>
      </c>
      <c r="G1281" s="6">
        <v>31880</v>
      </c>
      <c r="H1281" s="6">
        <v>31999</v>
      </c>
      <c r="I1281" s="1" t="str">
        <f t="shared" si="38"/>
        <v xml:space="preserve"> Colorado</v>
      </c>
      <c r="J1281" s="1" t="str">
        <f t="shared" si="39"/>
        <v>Wheat Ridge city</v>
      </c>
      <c r="K1281" s="1">
        <f>IF(COUNTIF($I$5:I1281,I1281)=1,1,0)</f>
        <v>0</v>
      </c>
    </row>
    <row r="1282" spans="1:11" x14ac:dyDescent="0.2">
      <c r="A1282" s="9">
        <v>1277</v>
      </c>
      <c r="B1282" s="5" t="s">
        <v>1277</v>
      </c>
      <c r="C1282" s="6">
        <v>32216</v>
      </c>
      <c r="D1282" s="6">
        <v>32264</v>
      </c>
      <c r="E1282" s="6">
        <v>31629</v>
      </c>
      <c r="F1282" s="6">
        <v>31302</v>
      </c>
      <c r="G1282" s="6">
        <v>31480</v>
      </c>
      <c r="H1282" s="6">
        <v>31999</v>
      </c>
      <c r="I1282" s="1" t="str">
        <f t="shared" si="38"/>
        <v xml:space="preserve"> New Mexico</v>
      </c>
      <c r="J1282" s="1" t="str">
        <f t="shared" si="39"/>
        <v>Carlsbad city</v>
      </c>
      <c r="K1282" s="1">
        <f>IF(COUNTIF($I$5:I1282,I1282)=1,1,0)</f>
        <v>0</v>
      </c>
    </row>
    <row r="1283" spans="1:11" x14ac:dyDescent="0.2">
      <c r="A1283" s="9">
        <v>1279</v>
      </c>
      <c r="B1283" s="5" t="s">
        <v>1278</v>
      </c>
      <c r="C1283" s="6">
        <v>32125</v>
      </c>
      <c r="D1283" s="6">
        <v>31888</v>
      </c>
      <c r="E1283" s="6">
        <v>31715</v>
      </c>
      <c r="F1283" s="6">
        <v>31707</v>
      </c>
      <c r="G1283" s="6">
        <v>31721</v>
      </c>
      <c r="H1283" s="6">
        <v>31990</v>
      </c>
      <c r="I1283" s="1" t="str">
        <f t="shared" si="38"/>
        <v xml:space="preserve"> New York</v>
      </c>
      <c r="J1283" s="1" t="str">
        <f t="shared" si="39"/>
        <v>Rome city</v>
      </c>
      <c r="K1283" s="1">
        <f>IF(COUNTIF($I$5:I1283,I1283)=1,1,0)</f>
        <v>0</v>
      </c>
    </row>
    <row r="1284" spans="1:11" x14ac:dyDescent="0.2">
      <c r="A1284" s="9">
        <v>1280</v>
      </c>
      <c r="B1284" s="5" t="s">
        <v>1279</v>
      </c>
      <c r="C1284" s="6">
        <v>17073</v>
      </c>
      <c r="D1284" s="6">
        <v>17552</v>
      </c>
      <c r="E1284" s="6">
        <v>20389</v>
      </c>
      <c r="F1284" s="6">
        <v>23765</v>
      </c>
      <c r="G1284" s="6">
        <v>27909</v>
      </c>
      <c r="H1284" s="6">
        <v>31986</v>
      </c>
      <c r="I1284" s="1" t="str">
        <f t="shared" si="38"/>
        <v xml:space="preserve"> Texas</v>
      </c>
      <c r="J1284" s="1" t="str">
        <f t="shared" si="39"/>
        <v>Anna city</v>
      </c>
      <c r="K1284" s="1">
        <f>IF(COUNTIF($I$5:I1284,I1284)=1,1,0)</f>
        <v>0</v>
      </c>
    </row>
    <row r="1285" spans="1:11" x14ac:dyDescent="0.2">
      <c r="A1285" s="9">
        <v>1281</v>
      </c>
      <c r="B1285" s="5" t="s">
        <v>1280</v>
      </c>
      <c r="C1285" s="6">
        <v>33561</v>
      </c>
      <c r="D1285" s="6">
        <v>33449</v>
      </c>
      <c r="E1285" s="6">
        <v>32713</v>
      </c>
      <c r="F1285" s="6">
        <v>32286</v>
      </c>
      <c r="G1285" s="6">
        <v>32041</v>
      </c>
      <c r="H1285" s="6">
        <v>31930</v>
      </c>
      <c r="I1285" s="1" t="str">
        <f t="shared" si="38"/>
        <v xml:space="preserve"> California</v>
      </c>
      <c r="J1285" s="1" t="str">
        <f t="shared" si="39"/>
        <v>Bell city</v>
      </c>
      <c r="K1285" s="1">
        <f>IF(COUNTIF($I$5:I1285,I1285)=1,1,0)</f>
        <v>0</v>
      </c>
    </row>
    <row r="1286" spans="1:11" x14ac:dyDescent="0.2">
      <c r="A1286" s="9">
        <v>1282</v>
      </c>
      <c r="B1286" s="5" t="s">
        <v>1281</v>
      </c>
      <c r="C1286" s="6">
        <v>29515</v>
      </c>
      <c r="D1286" s="6">
        <v>29820</v>
      </c>
      <c r="E1286" s="6">
        <v>30781</v>
      </c>
      <c r="F1286" s="6">
        <v>31221</v>
      </c>
      <c r="G1286" s="6">
        <v>31599</v>
      </c>
      <c r="H1286" s="6">
        <v>31929</v>
      </c>
      <c r="I1286" s="1" t="str">
        <f t="shared" ref="I1286:I1349" si="40">_xlfn.TEXTAFTER(B1286,",")</f>
        <v xml:space="preserve"> California</v>
      </c>
      <c r="J1286" s="1" t="str">
        <f t="shared" ref="J1286:J1349" si="41">_xlfn.TEXTBEFORE(B1286,", ")</f>
        <v>Banning city</v>
      </c>
      <c r="K1286" s="1">
        <f>IF(COUNTIF($I$5:I1286,I1286)=1,1,0)</f>
        <v>0</v>
      </c>
    </row>
    <row r="1287" spans="1:11" x14ac:dyDescent="0.2">
      <c r="A1287" s="9">
        <v>1283</v>
      </c>
      <c r="B1287" s="5" t="s">
        <v>1282</v>
      </c>
      <c r="C1287" s="6">
        <v>30634</v>
      </c>
      <c r="D1287" s="6">
        <v>30542</v>
      </c>
      <c r="E1287" s="6">
        <v>30297</v>
      </c>
      <c r="F1287" s="6">
        <v>30717</v>
      </c>
      <c r="G1287" s="6">
        <v>31224</v>
      </c>
      <c r="H1287" s="6">
        <v>31877</v>
      </c>
      <c r="I1287" s="1" t="str">
        <f t="shared" si="40"/>
        <v xml:space="preserve"> Georgia</v>
      </c>
      <c r="J1287" s="1" t="str">
        <f t="shared" si="41"/>
        <v>Lawrenceville city</v>
      </c>
      <c r="K1287" s="1">
        <f>IF(COUNTIF($I$5:I1287,I1287)=1,1,0)</f>
        <v>0</v>
      </c>
    </row>
    <row r="1288" spans="1:11" x14ac:dyDescent="0.2">
      <c r="A1288" s="9">
        <v>1284</v>
      </c>
      <c r="B1288" s="5" t="s">
        <v>1283</v>
      </c>
      <c r="C1288" s="6">
        <v>32821</v>
      </c>
      <c r="D1288" s="6">
        <v>32697</v>
      </c>
      <c r="E1288" s="6">
        <v>32114</v>
      </c>
      <c r="F1288" s="6">
        <v>31702</v>
      </c>
      <c r="G1288" s="6">
        <v>31599</v>
      </c>
      <c r="H1288" s="6">
        <v>31802</v>
      </c>
      <c r="I1288" s="1" t="str">
        <f t="shared" si="40"/>
        <v xml:space="preserve"> Illinois</v>
      </c>
      <c r="J1288" s="1" t="str">
        <f t="shared" si="41"/>
        <v>Elk Grove Village village</v>
      </c>
      <c r="K1288" s="1">
        <f>IF(COUNTIF($I$5:I1288,I1288)=1,1,0)</f>
        <v>0</v>
      </c>
    </row>
    <row r="1289" spans="1:11" x14ac:dyDescent="0.2">
      <c r="A1289" s="9">
        <v>1285</v>
      </c>
      <c r="B1289" s="5" t="s">
        <v>1284</v>
      </c>
      <c r="C1289" s="6">
        <v>30680</v>
      </c>
      <c r="D1289" s="6">
        <v>30780</v>
      </c>
      <c r="E1289" s="6">
        <v>31160</v>
      </c>
      <c r="F1289" s="6">
        <v>31478</v>
      </c>
      <c r="G1289" s="6">
        <v>31671</v>
      </c>
      <c r="H1289" s="6">
        <v>31786</v>
      </c>
      <c r="I1289" s="1" t="str">
        <f t="shared" si="40"/>
        <v xml:space="preserve"> California</v>
      </c>
      <c r="J1289" s="1" t="str">
        <f t="shared" si="41"/>
        <v>Santa Paula city</v>
      </c>
      <c r="K1289" s="1">
        <f>IF(COUNTIF($I$5:I1289,I1289)=1,1,0)</f>
        <v>0</v>
      </c>
    </row>
    <row r="1290" spans="1:11" x14ac:dyDescent="0.2">
      <c r="A1290" s="9">
        <v>1286</v>
      </c>
      <c r="B1290" s="5" t="s">
        <v>1285</v>
      </c>
      <c r="C1290" s="6">
        <v>33782</v>
      </c>
      <c r="D1290" s="6">
        <v>33660</v>
      </c>
      <c r="E1290" s="6">
        <v>32920</v>
      </c>
      <c r="F1290" s="6">
        <v>32286</v>
      </c>
      <c r="G1290" s="6">
        <v>31814</v>
      </c>
      <c r="H1290" s="6">
        <v>31755</v>
      </c>
      <c r="I1290" s="1" t="str">
        <f t="shared" si="40"/>
        <v xml:space="preserve"> Minnesota</v>
      </c>
      <c r="J1290" s="1" t="str">
        <f t="shared" si="41"/>
        <v>Brooklyn Center city</v>
      </c>
      <c r="K1290" s="1">
        <f>IF(COUNTIF($I$5:I1290,I1290)=1,1,0)</f>
        <v>0</v>
      </c>
    </row>
    <row r="1291" spans="1:11" x14ac:dyDescent="0.2">
      <c r="A1291" s="9">
        <v>1287</v>
      </c>
      <c r="B1291" s="5" t="s">
        <v>1286</v>
      </c>
      <c r="C1291" s="6">
        <v>32518</v>
      </c>
      <c r="D1291" s="6">
        <v>32408</v>
      </c>
      <c r="E1291" s="6">
        <v>32180</v>
      </c>
      <c r="F1291" s="6">
        <v>32005</v>
      </c>
      <c r="G1291" s="6">
        <v>32007</v>
      </c>
      <c r="H1291" s="6">
        <v>31732</v>
      </c>
      <c r="I1291" s="1" t="str">
        <f t="shared" si="40"/>
        <v xml:space="preserve"> Alaska</v>
      </c>
      <c r="J1291" s="1" t="str">
        <f t="shared" si="41"/>
        <v>Fairbanks city</v>
      </c>
      <c r="K1291" s="1">
        <f>IF(COUNTIF($I$5:I1291,I1291)=1,1,0)</f>
        <v>0</v>
      </c>
    </row>
    <row r="1292" spans="1:11" x14ac:dyDescent="0.2">
      <c r="A1292" s="9">
        <v>1287</v>
      </c>
      <c r="B1292" s="5" t="s">
        <v>1287</v>
      </c>
      <c r="C1292" s="6">
        <v>26321</v>
      </c>
      <c r="D1292" s="6">
        <v>26698</v>
      </c>
      <c r="E1292" s="6">
        <v>28370</v>
      </c>
      <c r="F1292" s="6">
        <v>29465</v>
      </c>
      <c r="G1292" s="6">
        <v>30325</v>
      </c>
      <c r="H1292" s="6">
        <v>31732</v>
      </c>
      <c r="I1292" s="1" t="str">
        <f t="shared" si="40"/>
        <v xml:space="preserve"> North Carolina</v>
      </c>
      <c r="J1292" s="1" t="str">
        <f t="shared" si="41"/>
        <v>Clayton town</v>
      </c>
      <c r="K1292" s="1">
        <f>IF(COUNTIF($I$5:I1292,I1292)=1,1,0)</f>
        <v>0</v>
      </c>
    </row>
    <row r="1293" spans="1:11" x14ac:dyDescent="0.2">
      <c r="A1293" s="9">
        <v>1289</v>
      </c>
      <c r="B1293" s="5" t="s">
        <v>1288</v>
      </c>
      <c r="C1293" s="6">
        <v>28595</v>
      </c>
      <c r="D1293" s="6">
        <v>28719</v>
      </c>
      <c r="E1293" s="6">
        <v>29185</v>
      </c>
      <c r="F1293" s="6">
        <v>29853</v>
      </c>
      <c r="G1293" s="6">
        <v>30828</v>
      </c>
      <c r="H1293" s="6">
        <v>31728</v>
      </c>
      <c r="I1293" s="1" t="str">
        <f t="shared" si="40"/>
        <v xml:space="preserve"> Oklahoma</v>
      </c>
      <c r="J1293" s="1" t="str">
        <f t="shared" si="41"/>
        <v>Bixby city</v>
      </c>
      <c r="K1293" s="1">
        <f>IF(COUNTIF($I$5:I1293,I1293)=1,1,0)</f>
        <v>0</v>
      </c>
    </row>
    <row r="1294" spans="1:11" x14ac:dyDescent="0.2">
      <c r="A1294" s="9">
        <v>1290</v>
      </c>
      <c r="B1294" s="5" t="s">
        <v>1289</v>
      </c>
      <c r="C1294" s="6">
        <v>28463</v>
      </c>
      <c r="D1294" s="6">
        <v>28599</v>
      </c>
      <c r="E1294" s="6">
        <v>29195</v>
      </c>
      <c r="F1294" s="6">
        <v>29725</v>
      </c>
      <c r="G1294" s="6">
        <v>30310</v>
      </c>
      <c r="H1294" s="6">
        <v>31693</v>
      </c>
      <c r="I1294" s="1" t="str">
        <f t="shared" si="40"/>
        <v xml:space="preserve"> North Carolina</v>
      </c>
      <c r="J1294" s="1" t="str">
        <f t="shared" si="41"/>
        <v>Statesville city</v>
      </c>
      <c r="K1294" s="1">
        <f>IF(COUNTIF($I$5:I1294,I1294)=1,1,0)</f>
        <v>0</v>
      </c>
    </row>
    <row r="1295" spans="1:11" x14ac:dyDescent="0.2">
      <c r="A1295" s="9">
        <v>1291</v>
      </c>
      <c r="B1295" s="5" t="s">
        <v>1290</v>
      </c>
      <c r="C1295" s="6">
        <v>32439</v>
      </c>
      <c r="D1295" s="6">
        <v>32379</v>
      </c>
      <c r="E1295" s="6">
        <v>32068</v>
      </c>
      <c r="F1295" s="6">
        <v>31792</v>
      </c>
      <c r="G1295" s="6">
        <v>31686</v>
      </c>
      <c r="H1295" s="6">
        <v>31690</v>
      </c>
      <c r="I1295" s="1" t="str">
        <f t="shared" si="40"/>
        <v xml:space="preserve"> Ohio</v>
      </c>
      <c r="J1295" s="1" t="str">
        <f t="shared" si="41"/>
        <v>North Olmsted city</v>
      </c>
      <c r="K1295" s="1">
        <f>IF(COUNTIF($I$5:I1295,I1295)=1,1,0)</f>
        <v>0</v>
      </c>
    </row>
    <row r="1296" spans="1:11" x14ac:dyDescent="0.2">
      <c r="A1296" s="9">
        <v>1292</v>
      </c>
      <c r="B1296" s="5" t="s">
        <v>1291</v>
      </c>
      <c r="C1296" s="6">
        <v>33411</v>
      </c>
      <c r="D1296" s="6">
        <v>33346</v>
      </c>
      <c r="E1296" s="6">
        <v>33134</v>
      </c>
      <c r="F1296" s="6">
        <v>32034</v>
      </c>
      <c r="G1296" s="6">
        <v>31797</v>
      </c>
      <c r="H1296" s="6">
        <v>31671</v>
      </c>
      <c r="I1296" s="1" t="str">
        <f t="shared" si="40"/>
        <v xml:space="preserve"> Louisiana</v>
      </c>
      <c r="J1296" s="1" t="str">
        <f t="shared" si="41"/>
        <v>Houma city</v>
      </c>
      <c r="K1296" s="1">
        <f>IF(COUNTIF($I$5:I1296,I1296)=1,1,0)</f>
        <v>0</v>
      </c>
    </row>
    <row r="1297" spans="1:11" x14ac:dyDescent="0.2">
      <c r="A1297" s="9">
        <v>1293</v>
      </c>
      <c r="B1297" s="5" t="s">
        <v>1292</v>
      </c>
      <c r="C1297" s="6">
        <v>30933</v>
      </c>
      <c r="D1297" s="6">
        <v>30942</v>
      </c>
      <c r="E1297" s="6">
        <v>31196</v>
      </c>
      <c r="F1297" s="6">
        <v>31230</v>
      </c>
      <c r="G1297" s="6">
        <v>31531</v>
      </c>
      <c r="H1297" s="6">
        <v>31667</v>
      </c>
      <c r="I1297" s="1" t="str">
        <f t="shared" si="40"/>
        <v xml:space="preserve"> New Mexico</v>
      </c>
      <c r="J1297" s="1" t="str">
        <f t="shared" si="41"/>
        <v>Alamogordo city</v>
      </c>
      <c r="K1297" s="1">
        <f>IF(COUNTIF($I$5:I1297,I1297)=1,1,0)</f>
        <v>0</v>
      </c>
    </row>
    <row r="1298" spans="1:11" x14ac:dyDescent="0.2">
      <c r="A1298" s="9">
        <v>1294</v>
      </c>
      <c r="B1298" s="5" t="s">
        <v>1293</v>
      </c>
      <c r="C1298" s="6">
        <v>28775</v>
      </c>
      <c r="D1298" s="6">
        <v>28940</v>
      </c>
      <c r="E1298" s="6">
        <v>29122</v>
      </c>
      <c r="F1298" s="6">
        <v>30037</v>
      </c>
      <c r="G1298" s="6">
        <v>30902</v>
      </c>
      <c r="H1298" s="6">
        <v>31650</v>
      </c>
      <c r="I1298" s="1" t="str">
        <f t="shared" si="40"/>
        <v xml:space="preserve"> Florida</v>
      </c>
      <c r="J1298" s="1" t="str">
        <f t="shared" si="41"/>
        <v>Casselberry city</v>
      </c>
      <c r="K1298" s="1">
        <f>IF(COUNTIF($I$5:I1298,I1298)=1,1,0)</f>
        <v>0</v>
      </c>
    </row>
    <row r="1299" spans="1:11" x14ac:dyDescent="0.2">
      <c r="A1299" s="9">
        <v>1295</v>
      </c>
      <c r="B1299" s="5" t="s">
        <v>1294</v>
      </c>
      <c r="C1299" s="6">
        <v>32250</v>
      </c>
      <c r="D1299" s="6">
        <v>32203</v>
      </c>
      <c r="E1299" s="6">
        <v>31972</v>
      </c>
      <c r="F1299" s="6">
        <v>31742</v>
      </c>
      <c r="G1299" s="6">
        <v>31483</v>
      </c>
      <c r="H1299" s="6">
        <v>31572</v>
      </c>
      <c r="I1299" s="1" t="str">
        <f t="shared" si="40"/>
        <v xml:space="preserve"> Alaska</v>
      </c>
      <c r="J1299" s="1" t="str">
        <f t="shared" si="41"/>
        <v>Juneau city and borough</v>
      </c>
      <c r="K1299" s="1">
        <f>IF(COUNTIF($I$5:I1299,I1299)=1,1,0)</f>
        <v>0</v>
      </c>
    </row>
    <row r="1300" spans="1:11" x14ac:dyDescent="0.2">
      <c r="A1300" s="9">
        <v>1296</v>
      </c>
      <c r="B1300" s="5" t="s">
        <v>1295</v>
      </c>
      <c r="C1300" s="6">
        <v>31497</v>
      </c>
      <c r="D1300" s="6">
        <v>31489</v>
      </c>
      <c r="E1300" s="6">
        <v>31540</v>
      </c>
      <c r="F1300" s="6">
        <v>31355</v>
      </c>
      <c r="G1300" s="6">
        <v>31329</v>
      </c>
      <c r="H1300" s="6">
        <v>31568</v>
      </c>
      <c r="I1300" s="1" t="str">
        <f t="shared" si="40"/>
        <v xml:space="preserve"> California</v>
      </c>
      <c r="J1300" s="1" t="str">
        <f t="shared" si="41"/>
        <v>El Paso de Robles (Paso Robles) city</v>
      </c>
      <c r="K1300" s="1">
        <f>IF(COUNTIF($I$5:I1300,I1300)=1,1,0)</f>
        <v>0</v>
      </c>
    </row>
    <row r="1301" spans="1:11" x14ac:dyDescent="0.2">
      <c r="A1301" s="9">
        <v>1297</v>
      </c>
      <c r="B1301" s="5" t="s">
        <v>1296</v>
      </c>
      <c r="C1301" s="6">
        <v>32125</v>
      </c>
      <c r="D1301" s="6">
        <v>32099</v>
      </c>
      <c r="E1301" s="6">
        <v>31877</v>
      </c>
      <c r="F1301" s="6">
        <v>31606</v>
      </c>
      <c r="G1301" s="6">
        <v>31461</v>
      </c>
      <c r="H1301" s="6">
        <v>31562</v>
      </c>
      <c r="I1301" s="1" t="str">
        <f t="shared" si="40"/>
        <v xml:space="preserve"> California</v>
      </c>
      <c r="J1301" s="1" t="str">
        <f t="shared" si="41"/>
        <v>San Pablo city</v>
      </c>
      <c r="K1301" s="1">
        <f>IF(COUNTIF($I$5:I1301,I1301)=1,1,0)</f>
        <v>0</v>
      </c>
    </row>
    <row r="1302" spans="1:11" x14ac:dyDescent="0.2">
      <c r="A1302" s="9">
        <v>1298</v>
      </c>
      <c r="B1302" s="5" t="s">
        <v>1297</v>
      </c>
      <c r="C1302" s="6">
        <v>32381</v>
      </c>
      <c r="D1302" s="6">
        <v>32335</v>
      </c>
      <c r="E1302" s="6">
        <v>32047</v>
      </c>
      <c r="F1302" s="6">
        <v>31609</v>
      </c>
      <c r="G1302" s="6">
        <v>31553</v>
      </c>
      <c r="H1302" s="6">
        <v>31524</v>
      </c>
      <c r="I1302" s="1" t="str">
        <f t="shared" si="40"/>
        <v xml:space="preserve"> California</v>
      </c>
      <c r="J1302" s="1" t="str">
        <f t="shared" si="41"/>
        <v>Seaside city</v>
      </c>
      <c r="K1302" s="1">
        <f>IF(COUNTIF($I$5:I1302,I1302)=1,1,0)</f>
        <v>0</v>
      </c>
    </row>
    <row r="1303" spans="1:11" x14ac:dyDescent="0.2">
      <c r="A1303" s="9">
        <v>1299</v>
      </c>
      <c r="B1303" s="5" t="s">
        <v>1298</v>
      </c>
      <c r="C1303" s="6">
        <v>31268</v>
      </c>
      <c r="D1303" s="6">
        <v>31260</v>
      </c>
      <c r="E1303" s="6">
        <v>31128</v>
      </c>
      <c r="F1303" s="6">
        <v>31198</v>
      </c>
      <c r="G1303" s="6">
        <v>31366</v>
      </c>
      <c r="H1303" s="6">
        <v>31500</v>
      </c>
      <c r="I1303" s="1" t="str">
        <f t="shared" si="40"/>
        <v xml:space="preserve"> Texas</v>
      </c>
      <c r="J1303" s="1" t="str">
        <f t="shared" si="41"/>
        <v>Southlake city</v>
      </c>
      <c r="K1303" s="1">
        <f>IF(COUNTIF($I$5:I1303,I1303)=1,1,0)</f>
        <v>0</v>
      </c>
    </row>
    <row r="1304" spans="1:11" x14ac:dyDescent="0.2">
      <c r="A1304" s="9">
        <v>1300</v>
      </c>
      <c r="B1304" s="5" t="s">
        <v>1299</v>
      </c>
      <c r="C1304" s="6">
        <v>31198</v>
      </c>
      <c r="D1304" s="6">
        <v>31208</v>
      </c>
      <c r="E1304" s="6">
        <v>31010</v>
      </c>
      <c r="F1304" s="6">
        <v>31043</v>
      </c>
      <c r="G1304" s="6">
        <v>31212</v>
      </c>
      <c r="H1304" s="6">
        <v>31492</v>
      </c>
      <c r="I1304" s="1" t="str">
        <f t="shared" si="40"/>
        <v xml:space="preserve"> Alabama</v>
      </c>
      <c r="J1304" s="1" t="str">
        <f t="shared" si="41"/>
        <v>Northport city</v>
      </c>
      <c r="K1304" s="1">
        <f>IF(COUNTIF($I$5:I1304,I1304)=1,1,0)</f>
        <v>0</v>
      </c>
    </row>
    <row r="1305" spans="1:11" x14ac:dyDescent="0.2">
      <c r="A1305" s="9">
        <v>1301</v>
      </c>
      <c r="B1305" s="5" t="s">
        <v>1300</v>
      </c>
      <c r="C1305" s="6">
        <v>32070</v>
      </c>
      <c r="D1305" s="6">
        <v>32021</v>
      </c>
      <c r="E1305" s="6">
        <v>32066</v>
      </c>
      <c r="F1305" s="6">
        <v>31834</v>
      </c>
      <c r="G1305" s="6">
        <v>31630</v>
      </c>
      <c r="H1305" s="6">
        <v>31466</v>
      </c>
      <c r="I1305" s="1" t="str">
        <f t="shared" si="40"/>
        <v xml:space="preserve"> Indiana</v>
      </c>
      <c r="J1305" s="1" t="str">
        <f t="shared" si="41"/>
        <v>Michigan City city</v>
      </c>
      <c r="K1305" s="1">
        <f>IF(COUNTIF($I$5:I1305,I1305)=1,1,0)</f>
        <v>0</v>
      </c>
    </row>
    <row r="1306" spans="1:11" x14ac:dyDescent="0.2">
      <c r="A1306" s="9">
        <v>1302</v>
      </c>
      <c r="B1306" s="5" t="s">
        <v>1301</v>
      </c>
      <c r="C1306" s="6">
        <v>30689</v>
      </c>
      <c r="D1306" s="6">
        <v>30629</v>
      </c>
      <c r="E1306" s="6">
        <v>30552</v>
      </c>
      <c r="F1306" s="6">
        <v>30436</v>
      </c>
      <c r="G1306" s="6">
        <v>30630</v>
      </c>
      <c r="H1306" s="6">
        <v>31445</v>
      </c>
      <c r="I1306" s="1" t="str">
        <f t="shared" si="40"/>
        <v xml:space="preserve"> New Jersey</v>
      </c>
      <c r="J1306" s="1" t="str">
        <f t="shared" si="41"/>
        <v>Princeton</v>
      </c>
      <c r="K1306" s="1">
        <f>IF(COUNTIF($I$5:I1306,I1306)=1,1,0)</f>
        <v>0</v>
      </c>
    </row>
    <row r="1307" spans="1:11" x14ac:dyDescent="0.2">
      <c r="A1307" s="9">
        <v>1303</v>
      </c>
      <c r="B1307" s="5" t="s">
        <v>1302</v>
      </c>
      <c r="C1307" s="6">
        <v>27683</v>
      </c>
      <c r="D1307" s="6">
        <v>27706</v>
      </c>
      <c r="E1307" s="6">
        <v>28346</v>
      </c>
      <c r="F1307" s="6">
        <v>28546</v>
      </c>
      <c r="G1307" s="6">
        <v>29575</v>
      </c>
      <c r="H1307" s="6">
        <v>31429</v>
      </c>
      <c r="I1307" s="1" t="str">
        <f t="shared" si="40"/>
        <v xml:space="preserve"> Florida</v>
      </c>
      <c r="J1307" s="1" t="str">
        <f t="shared" si="41"/>
        <v>Rockledge city</v>
      </c>
      <c r="K1307" s="1">
        <f>IF(COUNTIF($I$5:I1307,I1307)=1,1,0)</f>
        <v>0</v>
      </c>
    </row>
    <row r="1308" spans="1:11" x14ac:dyDescent="0.2">
      <c r="A1308" s="9">
        <v>1304</v>
      </c>
      <c r="B1308" s="5" t="s">
        <v>1303</v>
      </c>
      <c r="C1308" s="6">
        <v>27712</v>
      </c>
      <c r="D1308" s="6">
        <v>27864</v>
      </c>
      <c r="E1308" s="6">
        <v>28695</v>
      </c>
      <c r="F1308" s="6">
        <v>29663</v>
      </c>
      <c r="G1308" s="6">
        <v>30455</v>
      </c>
      <c r="H1308" s="6">
        <v>31400</v>
      </c>
      <c r="I1308" s="1" t="str">
        <f t="shared" si="40"/>
        <v xml:space="preserve"> Texas</v>
      </c>
      <c r="J1308" s="1" t="str">
        <f t="shared" si="41"/>
        <v>Converse city</v>
      </c>
      <c r="K1308" s="1">
        <f>IF(COUNTIF($I$5:I1308,I1308)=1,1,0)</f>
        <v>0</v>
      </c>
    </row>
    <row r="1309" spans="1:11" x14ac:dyDescent="0.2">
      <c r="A1309" s="9">
        <v>1305</v>
      </c>
      <c r="B1309" s="5" t="s">
        <v>1304</v>
      </c>
      <c r="C1309" s="6">
        <v>29251</v>
      </c>
      <c r="D1309" s="6">
        <v>29262</v>
      </c>
      <c r="E1309" s="6">
        <v>29251</v>
      </c>
      <c r="F1309" s="6">
        <v>29790</v>
      </c>
      <c r="G1309" s="6">
        <v>30421</v>
      </c>
      <c r="H1309" s="6">
        <v>31381</v>
      </c>
      <c r="I1309" s="1" t="str">
        <f t="shared" si="40"/>
        <v xml:space="preserve"> Utah</v>
      </c>
      <c r="J1309" s="1" t="str">
        <f t="shared" si="41"/>
        <v>Magna metro township</v>
      </c>
      <c r="K1309" s="1">
        <f>IF(COUNTIF($I$5:I1309,I1309)=1,1,0)</f>
        <v>0</v>
      </c>
    </row>
    <row r="1310" spans="1:11" x14ac:dyDescent="0.2">
      <c r="A1310" s="9">
        <v>1306</v>
      </c>
      <c r="B1310" s="5" t="s">
        <v>1305</v>
      </c>
      <c r="C1310" s="6">
        <v>25934</v>
      </c>
      <c r="D1310" s="6">
        <v>26579</v>
      </c>
      <c r="E1310" s="6">
        <v>27906</v>
      </c>
      <c r="F1310" s="6">
        <v>28884</v>
      </c>
      <c r="G1310" s="6">
        <v>29257</v>
      </c>
      <c r="H1310" s="6">
        <v>31378</v>
      </c>
      <c r="I1310" s="1" t="str">
        <f t="shared" si="40"/>
        <v xml:space="preserve"> Florida</v>
      </c>
      <c r="J1310" s="1" t="str">
        <f t="shared" si="41"/>
        <v>West Melbourne city</v>
      </c>
      <c r="K1310" s="1">
        <f>IF(COUNTIF($I$5:I1310,I1310)=1,1,0)</f>
        <v>0</v>
      </c>
    </row>
    <row r="1311" spans="1:11" x14ac:dyDescent="0.2">
      <c r="A1311" s="9">
        <v>1307</v>
      </c>
      <c r="B1311" s="5" t="s">
        <v>1306</v>
      </c>
      <c r="C1311" s="6">
        <v>28207</v>
      </c>
      <c r="D1311" s="6">
        <v>28148</v>
      </c>
      <c r="E1311" s="6">
        <v>29687</v>
      </c>
      <c r="F1311" s="6">
        <v>29612</v>
      </c>
      <c r="G1311" s="6">
        <v>31084</v>
      </c>
      <c r="H1311" s="6">
        <v>31321</v>
      </c>
      <c r="I1311" s="1" t="str">
        <f t="shared" si="40"/>
        <v xml:space="preserve"> New York</v>
      </c>
      <c r="J1311" s="1" t="str">
        <f t="shared" si="41"/>
        <v>Harrison village</v>
      </c>
      <c r="K1311" s="1">
        <f>IF(COUNTIF($I$5:I1311,I1311)=1,1,0)</f>
        <v>0</v>
      </c>
    </row>
    <row r="1312" spans="1:11" x14ac:dyDescent="0.2">
      <c r="A1312" s="9">
        <v>1308</v>
      </c>
      <c r="B1312" s="5" t="s">
        <v>1307</v>
      </c>
      <c r="C1312" s="6">
        <v>29567</v>
      </c>
      <c r="D1312" s="6">
        <v>29279</v>
      </c>
      <c r="E1312" s="6">
        <v>31465</v>
      </c>
      <c r="F1312" s="6">
        <v>31397</v>
      </c>
      <c r="G1312" s="6">
        <v>31384</v>
      </c>
      <c r="H1312" s="6">
        <v>31315</v>
      </c>
      <c r="I1312" s="1" t="str">
        <f t="shared" si="40"/>
        <v xml:space="preserve"> Massachusetts</v>
      </c>
      <c r="J1312" s="1" t="str">
        <f t="shared" si="41"/>
        <v>Northampton city</v>
      </c>
      <c r="K1312" s="1">
        <f>IF(COUNTIF($I$5:I1312,I1312)=1,1,0)</f>
        <v>0</v>
      </c>
    </row>
    <row r="1313" spans="1:11" x14ac:dyDescent="0.2">
      <c r="A1313" s="9">
        <v>1309</v>
      </c>
      <c r="B1313" s="5" t="s">
        <v>1308</v>
      </c>
      <c r="C1313" s="6">
        <v>25078</v>
      </c>
      <c r="D1313" s="6">
        <v>25267</v>
      </c>
      <c r="E1313" s="6">
        <v>26828</v>
      </c>
      <c r="F1313" s="6">
        <v>28919</v>
      </c>
      <c r="G1313" s="6">
        <v>30171</v>
      </c>
      <c r="H1313" s="6">
        <v>31296</v>
      </c>
      <c r="I1313" s="1" t="str">
        <f t="shared" si="40"/>
        <v xml:space="preserve"> Montana</v>
      </c>
      <c r="J1313" s="1" t="str">
        <f t="shared" si="41"/>
        <v>Kalispell city</v>
      </c>
      <c r="K1313" s="1">
        <f>IF(COUNTIF($I$5:I1313,I1313)=1,1,0)</f>
        <v>0</v>
      </c>
    </row>
    <row r="1314" spans="1:11" x14ac:dyDescent="0.2">
      <c r="A1314" s="9">
        <v>1310</v>
      </c>
      <c r="B1314" s="5" t="s">
        <v>1309</v>
      </c>
      <c r="C1314" s="6">
        <v>31890</v>
      </c>
      <c r="D1314" s="6">
        <v>31823</v>
      </c>
      <c r="E1314" s="6">
        <v>31618</v>
      </c>
      <c r="F1314" s="6">
        <v>31343</v>
      </c>
      <c r="G1314" s="6">
        <v>31290</v>
      </c>
      <c r="H1314" s="6">
        <v>31266</v>
      </c>
      <c r="I1314" s="1" t="str">
        <f t="shared" si="40"/>
        <v xml:space="preserve"> Illinois</v>
      </c>
      <c r="J1314" s="1" t="str">
        <f t="shared" si="41"/>
        <v>Pekin city</v>
      </c>
      <c r="K1314" s="1">
        <f>IF(COUNTIF($I$5:I1314,I1314)=1,1,0)</f>
        <v>0</v>
      </c>
    </row>
    <row r="1315" spans="1:11" x14ac:dyDescent="0.2">
      <c r="A1315" s="9">
        <v>1311</v>
      </c>
      <c r="B1315" s="5" t="s">
        <v>1310</v>
      </c>
      <c r="C1315" s="6">
        <v>30158</v>
      </c>
      <c r="D1315" s="6">
        <v>30224</v>
      </c>
      <c r="E1315" s="6">
        <v>30335</v>
      </c>
      <c r="F1315" s="6">
        <v>30777</v>
      </c>
      <c r="G1315" s="6">
        <v>30836</v>
      </c>
      <c r="H1315" s="6">
        <v>31245</v>
      </c>
      <c r="I1315" s="1" t="str">
        <f t="shared" si="40"/>
        <v xml:space="preserve"> Missouri</v>
      </c>
      <c r="J1315" s="1" t="str">
        <f t="shared" si="41"/>
        <v>Liberty city</v>
      </c>
      <c r="K1315" s="1">
        <f>IF(COUNTIF($I$5:I1315,I1315)=1,1,0)</f>
        <v>0</v>
      </c>
    </row>
    <row r="1316" spans="1:11" x14ac:dyDescent="0.2">
      <c r="A1316" s="9">
        <v>1312</v>
      </c>
      <c r="B1316" s="5" t="s">
        <v>1311</v>
      </c>
      <c r="C1316" s="6">
        <v>30823</v>
      </c>
      <c r="D1316" s="6">
        <v>30810</v>
      </c>
      <c r="E1316" s="6">
        <v>30893</v>
      </c>
      <c r="F1316" s="6">
        <v>30970</v>
      </c>
      <c r="G1316" s="6">
        <v>31068</v>
      </c>
      <c r="H1316" s="6">
        <v>31210</v>
      </c>
      <c r="I1316" s="1" t="str">
        <f t="shared" si="40"/>
        <v xml:space="preserve"> Massachusetts</v>
      </c>
      <c r="J1316" s="1" t="str">
        <f t="shared" si="41"/>
        <v>North Attleborough Town city</v>
      </c>
      <c r="K1316" s="1">
        <f>IF(COUNTIF($I$5:I1316,I1316)=1,1,0)</f>
        <v>0</v>
      </c>
    </row>
    <row r="1317" spans="1:11" x14ac:dyDescent="0.2">
      <c r="A1317" s="9">
        <v>1313</v>
      </c>
      <c r="B1317" s="5" t="s">
        <v>1312</v>
      </c>
      <c r="C1317" s="6">
        <v>25611</v>
      </c>
      <c r="D1317" s="6">
        <v>25678</v>
      </c>
      <c r="E1317" s="6">
        <v>27002</v>
      </c>
      <c r="F1317" s="6">
        <v>28771</v>
      </c>
      <c r="G1317" s="6">
        <v>29637</v>
      </c>
      <c r="H1317" s="6">
        <v>31171</v>
      </c>
      <c r="I1317" s="1" t="str">
        <f t="shared" si="40"/>
        <v xml:space="preserve"> Georgia</v>
      </c>
      <c r="J1317" s="1" t="str">
        <f t="shared" si="41"/>
        <v>Pooler city</v>
      </c>
      <c r="K1317" s="1">
        <f>IF(COUNTIF($I$5:I1317,I1317)=1,1,0)</f>
        <v>0</v>
      </c>
    </row>
    <row r="1318" spans="1:11" x14ac:dyDescent="0.2">
      <c r="A1318" s="9">
        <v>1314</v>
      </c>
      <c r="B1318" s="5" t="s">
        <v>1313</v>
      </c>
      <c r="C1318" s="6">
        <v>31694</v>
      </c>
      <c r="D1318" s="6">
        <v>31665</v>
      </c>
      <c r="E1318" s="6">
        <v>31450</v>
      </c>
      <c r="F1318" s="6">
        <v>31174</v>
      </c>
      <c r="G1318" s="6">
        <v>31037</v>
      </c>
      <c r="H1318" s="6">
        <v>31036</v>
      </c>
      <c r="I1318" s="1" t="str">
        <f t="shared" si="40"/>
        <v xml:space="preserve"> Missouri</v>
      </c>
      <c r="J1318" s="1" t="str">
        <f t="shared" si="41"/>
        <v>Ballwin city</v>
      </c>
      <c r="K1318" s="1">
        <f>IF(COUNTIF($I$5:I1318,I1318)=1,1,0)</f>
        <v>0</v>
      </c>
    </row>
    <row r="1319" spans="1:11" x14ac:dyDescent="0.2">
      <c r="A1319" s="9">
        <v>1315</v>
      </c>
      <c r="B1319" s="5" t="s">
        <v>1314</v>
      </c>
      <c r="C1319" s="6">
        <v>32699</v>
      </c>
      <c r="D1319" s="6">
        <v>32580</v>
      </c>
      <c r="E1319" s="6">
        <v>31886</v>
      </c>
      <c r="F1319" s="6">
        <v>31453</v>
      </c>
      <c r="G1319" s="6">
        <v>31173</v>
      </c>
      <c r="H1319" s="6">
        <v>31027</v>
      </c>
      <c r="I1319" s="1" t="str">
        <f t="shared" si="40"/>
        <v xml:space="preserve"> California</v>
      </c>
      <c r="J1319" s="1" t="str">
        <f t="shared" si="41"/>
        <v>Beverly Hills city</v>
      </c>
      <c r="K1319" s="1">
        <f>IF(COUNTIF($I$5:I1319,I1319)=1,1,0)</f>
        <v>0</v>
      </c>
    </row>
    <row r="1320" spans="1:11" x14ac:dyDescent="0.2">
      <c r="A1320" s="9">
        <v>1316</v>
      </c>
      <c r="B1320" s="5" t="s">
        <v>1315</v>
      </c>
      <c r="C1320" s="6">
        <v>31747</v>
      </c>
      <c r="D1320" s="6">
        <v>31574</v>
      </c>
      <c r="E1320" s="6">
        <v>31328</v>
      </c>
      <c r="F1320" s="6">
        <v>30926</v>
      </c>
      <c r="G1320" s="6">
        <v>30776</v>
      </c>
      <c r="H1320" s="6">
        <v>30957</v>
      </c>
      <c r="I1320" s="1" t="str">
        <f t="shared" si="40"/>
        <v xml:space="preserve"> New York</v>
      </c>
      <c r="J1320" s="1" t="str">
        <f t="shared" si="41"/>
        <v>Port Chester village</v>
      </c>
      <c r="K1320" s="1">
        <f>IF(COUNTIF($I$5:I1320,I1320)=1,1,0)</f>
        <v>0</v>
      </c>
    </row>
    <row r="1321" spans="1:11" x14ac:dyDescent="0.2">
      <c r="A1321" s="9">
        <v>1317</v>
      </c>
      <c r="B1321" s="5" t="s">
        <v>1316</v>
      </c>
      <c r="C1321" s="6">
        <v>29441</v>
      </c>
      <c r="D1321" s="6">
        <v>29458</v>
      </c>
      <c r="E1321" s="6">
        <v>29562</v>
      </c>
      <c r="F1321" s="6">
        <v>29968</v>
      </c>
      <c r="G1321" s="6">
        <v>30396</v>
      </c>
      <c r="H1321" s="6">
        <v>30937</v>
      </c>
      <c r="I1321" s="1" t="str">
        <f t="shared" si="40"/>
        <v xml:space="preserve"> South Carolina</v>
      </c>
      <c r="J1321" s="1" t="str">
        <f t="shared" si="41"/>
        <v>Anderson city</v>
      </c>
      <c r="K1321" s="1">
        <f>IF(COUNTIF($I$5:I1321,I1321)=1,1,0)</f>
        <v>0</v>
      </c>
    </row>
    <row r="1322" spans="1:11" x14ac:dyDescent="0.2">
      <c r="A1322" s="9">
        <v>1318</v>
      </c>
      <c r="B1322" s="5" t="s">
        <v>1317</v>
      </c>
      <c r="C1322" s="6">
        <v>31314</v>
      </c>
      <c r="D1322" s="6">
        <v>31307</v>
      </c>
      <c r="E1322" s="6">
        <v>31196</v>
      </c>
      <c r="F1322" s="6">
        <v>30987</v>
      </c>
      <c r="G1322" s="6">
        <v>30930</v>
      </c>
      <c r="H1322" s="6">
        <v>30920</v>
      </c>
      <c r="I1322" s="1" t="str">
        <f t="shared" si="40"/>
        <v xml:space="preserve"> Michigan</v>
      </c>
      <c r="J1322" s="1" t="str">
        <f t="shared" si="41"/>
        <v>Jackson city</v>
      </c>
      <c r="K1322" s="1">
        <f>IF(COUNTIF($I$5:I1322,I1322)=1,1,0)</f>
        <v>0</v>
      </c>
    </row>
    <row r="1323" spans="1:11" x14ac:dyDescent="0.2">
      <c r="A1323" s="9">
        <v>1319</v>
      </c>
      <c r="B1323" s="5" t="s">
        <v>1318</v>
      </c>
      <c r="C1323" s="6">
        <v>31328</v>
      </c>
      <c r="D1323" s="6">
        <v>31285</v>
      </c>
      <c r="E1323" s="6">
        <v>31044</v>
      </c>
      <c r="F1323" s="6">
        <v>30856</v>
      </c>
      <c r="G1323" s="6">
        <v>30823</v>
      </c>
      <c r="H1323" s="6">
        <v>30894</v>
      </c>
      <c r="I1323" s="1" t="str">
        <f t="shared" si="40"/>
        <v xml:space="preserve"> Ohio</v>
      </c>
      <c r="J1323" s="1" t="str">
        <f t="shared" si="41"/>
        <v>North Royalton city</v>
      </c>
      <c r="K1323" s="1">
        <f>IF(COUNTIF($I$5:I1323,I1323)=1,1,0)</f>
        <v>0</v>
      </c>
    </row>
    <row r="1324" spans="1:11" x14ac:dyDescent="0.2">
      <c r="A1324" s="9">
        <v>1320</v>
      </c>
      <c r="B1324" s="5" t="s">
        <v>1319</v>
      </c>
      <c r="C1324" s="6">
        <v>31385</v>
      </c>
      <c r="D1324" s="6">
        <v>31279</v>
      </c>
      <c r="E1324" s="6">
        <v>30209</v>
      </c>
      <c r="F1324" s="6">
        <v>29976</v>
      </c>
      <c r="G1324" s="6">
        <v>30277</v>
      </c>
      <c r="H1324" s="6">
        <v>30885</v>
      </c>
      <c r="I1324" s="1" t="str">
        <f t="shared" si="40"/>
        <v xml:space="preserve"> California</v>
      </c>
      <c r="J1324" s="1" t="str">
        <f t="shared" si="41"/>
        <v>Burlingame city</v>
      </c>
      <c r="K1324" s="1">
        <f>IF(COUNTIF($I$5:I1324,I1324)=1,1,0)</f>
        <v>0</v>
      </c>
    </row>
    <row r="1325" spans="1:11" x14ac:dyDescent="0.2">
      <c r="A1325" s="9">
        <v>1321</v>
      </c>
      <c r="B1325" s="5" t="s">
        <v>1320</v>
      </c>
      <c r="C1325" s="6">
        <v>31466</v>
      </c>
      <c r="D1325" s="6">
        <v>31351</v>
      </c>
      <c r="E1325" s="6">
        <v>30558</v>
      </c>
      <c r="F1325" s="6">
        <v>30344</v>
      </c>
      <c r="G1325" s="6">
        <v>30460</v>
      </c>
      <c r="H1325" s="6">
        <v>30864</v>
      </c>
      <c r="I1325" s="1" t="str">
        <f t="shared" si="40"/>
        <v xml:space="preserve"> California</v>
      </c>
      <c r="J1325" s="1" t="str">
        <f t="shared" si="41"/>
        <v>Los Altos city</v>
      </c>
      <c r="K1325" s="1">
        <f>IF(COUNTIF($I$5:I1325,I1325)=1,1,0)</f>
        <v>0</v>
      </c>
    </row>
    <row r="1326" spans="1:11" x14ac:dyDescent="0.2">
      <c r="A1326" s="9">
        <v>1322</v>
      </c>
      <c r="B1326" s="5" t="s">
        <v>1321</v>
      </c>
      <c r="C1326" s="6">
        <v>29805</v>
      </c>
      <c r="D1326" s="6">
        <v>30019</v>
      </c>
      <c r="E1326" s="6">
        <v>29789</v>
      </c>
      <c r="F1326" s="6">
        <v>30190</v>
      </c>
      <c r="G1326" s="6">
        <v>30522</v>
      </c>
      <c r="H1326" s="6">
        <v>30835</v>
      </c>
      <c r="I1326" s="1" t="str">
        <f t="shared" si="40"/>
        <v xml:space="preserve"> Florida</v>
      </c>
      <c r="J1326" s="1" t="str">
        <f t="shared" si="41"/>
        <v>Winter Park city</v>
      </c>
      <c r="K1326" s="1">
        <f>IF(COUNTIF($I$5:I1326,I1326)=1,1,0)</f>
        <v>0</v>
      </c>
    </row>
    <row r="1327" spans="1:11" x14ac:dyDescent="0.2">
      <c r="A1327" s="9">
        <v>1323</v>
      </c>
      <c r="B1327" s="5" t="s">
        <v>1322</v>
      </c>
      <c r="C1327" s="6">
        <v>31169</v>
      </c>
      <c r="D1327" s="6">
        <v>31169</v>
      </c>
      <c r="E1327" s="6">
        <v>30966</v>
      </c>
      <c r="F1327" s="6">
        <v>30832</v>
      </c>
      <c r="G1327" s="6">
        <v>30849</v>
      </c>
      <c r="H1327" s="6">
        <v>30800</v>
      </c>
      <c r="I1327" s="1" t="str">
        <f t="shared" si="40"/>
        <v xml:space="preserve"> Kentucky</v>
      </c>
      <c r="J1327" s="1" t="str">
        <f t="shared" si="41"/>
        <v>Hopkinsville city</v>
      </c>
      <c r="K1327" s="1">
        <f>IF(COUNTIF($I$5:I1327,I1327)=1,1,0)</f>
        <v>0</v>
      </c>
    </row>
    <row r="1328" spans="1:11" x14ac:dyDescent="0.2">
      <c r="A1328" s="9">
        <v>1324</v>
      </c>
      <c r="B1328" s="5" t="s">
        <v>1323</v>
      </c>
      <c r="C1328" s="6">
        <v>30188</v>
      </c>
      <c r="D1328" s="6">
        <v>30157</v>
      </c>
      <c r="E1328" s="6">
        <v>30203</v>
      </c>
      <c r="F1328" s="6">
        <v>30288</v>
      </c>
      <c r="G1328" s="6">
        <v>30503</v>
      </c>
      <c r="H1328" s="6">
        <v>30794</v>
      </c>
      <c r="I1328" s="1" t="str">
        <f t="shared" si="40"/>
        <v xml:space="preserve"> Illinois</v>
      </c>
      <c r="J1328" s="1" t="str">
        <f t="shared" si="41"/>
        <v>Highland Park city</v>
      </c>
      <c r="K1328" s="1">
        <f>IF(COUNTIF($I$5:I1328,I1328)=1,1,0)</f>
        <v>0</v>
      </c>
    </row>
    <row r="1329" spans="1:11" x14ac:dyDescent="0.2">
      <c r="A1329" s="9">
        <v>1325</v>
      </c>
      <c r="B1329" s="5" t="s">
        <v>1324</v>
      </c>
      <c r="C1329" s="6">
        <v>29550</v>
      </c>
      <c r="D1329" s="6">
        <v>29671</v>
      </c>
      <c r="E1329" s="6">
        <v>29975</v>
      </c>
      <c r="F1329" s="6">
        <v>29835</v>
      </c>
      <c r="G1329" s="6">
        <v>30302</v>
      </c>
      <c r="H1329" s="6">
        <v>30763</v>
      </c>
      <c r="I1329" s="1" t="str">
        <f t="shared" si="40"/>
        <v xml:space="preserve"> New Jersey</v>
      </c>
      <c r="J1329" s="1" t="str">
        <f t="shared" si="41"/>
        <v>Rahway city</v>
      </c>
      <c r="K1329" s="1">
        <f>IF(COUNTIF($I$5:I1329,I1329)=1,1,0)</f>
        <v>0</v>
      </c>
    </row>
    <row r="1330" spans="1:11" x14ac:dyDescent="0.2">
      <c r="A1330" s="9">
        <v>1326</v>
      </c>
      <c r="B1330" s="5" t="s">
        <v>1325</v>
      </c>
      <c r="C1330" s="6">
        <v>27472</v>
      </c>
      <c r="D1330" s="6">
        <v>27694</v>
      </c>
      <c r="E1330" s="6">
        <v>28745</v>
      </c>
      <c r="F1330" s="6">
        <v>29666</v>
      </c>
      <c r="G1330" s="6">
        <v>30391</v>
      </c>
      <c r="H1330" s="6">
        <v>30751</v>
      </c>
      <c r="I1330" s="1" t="str">
        <f t="shared" si="40"/>
        <v xml:space="preserve"> Alabama</v>
      </c>
      <c r="J1330" s="1" t="str">
        <f t="shared" si="41"/>
        <v>Daphne city</v>
      </c>
      <c r="K1330" s="1">
        <f>IF(COUNTIF($I$5:I1330,I1330)=1,1,0)</f>
        <v>0</v>
      </c>
    </row>
    <row r="1331" spans="1:11" x14ac:dyDescent="0.2">
      <c r="A1331" s="9">
        <v>1327</v>
      </c>
      <c r="B1331" s="5" t="s">
        <v>1326</v>
      </c>
      <c r="C1331" s="6">
        <v>28700</v>
      </c>
      <c r="D1331" s="6">
        <v>28838</v>
      </c>
      <c r="E1331" s="6">
        <v>29393</v>
      </c>
      <c r="F1331" s="6">
        <v>29740</v>
      </c>
      <c r="G1331" s="6">
        <v>30301</v>
      </c>
      <c r="H1331" s="6">
        <v>30731</v>
      </c>
      <c r="I1331" s="1" t="str">
        <f t="shared" si="40"/>
        <v xml:space="preserve"> Alabama</v>
      </c>
      <c r="J1331" s="1" t="str">
        <f t="shared" si="41"/>
        <v>Enterprise city</v>
      </c>
      <c r="K1331" s="1">
        <f>IF(COUNTIF($I$5:I1331,I1331)=1,1,0)</f>
        <v>0</v>
      </c>
    </row>
    <row r="1332" spans="1:11" x14ac:dyDescent="0.2">
      <c r="A1332" s="9">
        <v>1328</v>
      </c>
      <c r="B1332" s="5" t="s">
        <v>1327</v>
      </c>
      <c r="C1332" s="6">
        <v>27426</v>
      </c>
      <c r="D1332" s="6">
        <v>27533</v>
      </c>
      <c r="E1332" s="6">
        <v>27834</v>
      </c>
      <c r="F1332" s="6">
        <v>28320</v>
      </c>
      <c r="G1332" s="6">
        <v>29453</v>
      </c>
      <c r="H1332" s="6">
        <v>30727</v>
      </c>
      <c r="I1332" s="1" t="str">
        <f t="shared" si="40"/>
        <v xml:space="preserve"> Florida</v>
      </c>
      <c r="J1332" s="1" t="str">
        <f t="shared" si="41"/>
        <v>Crestview city</v>
      </c>
      <c r="K1332" s="1">
        <f>IF(COUNTIF($I$5:I1332,I1332)=1,1,0)</f>
        <v>0</v>
      </c>
    </row>
    <row r="1333" spans="1:11" x14ac:dyDescent="0.2">
      <c r="A1333" s="9">
        <v>1329</v>
      </c>
      <c r="B1333" s="5" t="s">
        <v>1328</v>
      </c>
      <c r="C1333" s="6">
        <v>29551</v>
      </c>
      <c r="D1333" s="6">
        <v>29663</v>
      </c>
      <c r="E1333" s="6">
        <v>30009</v>
      </c>
      <c r="F1333" s="6">
        <v>30125</v>
      </c>
      <c r="G1333" s="6">
        <v>30498</v>
      </c>
      <c r="H1333" s="6">
        <v>30680</v>
      </c>
      <c r="I1333" s="1" t="str">
        <f t="shared" si="40"/>
        <v xml:space="preserve"> Arkansas</v>
      </c>
      <c r="J1333" s="1" t="str">
        <f t="shared" si="41"/>
        <v>Paragould city</v>
      </c>
      <c r="K1333" s="1">
        <f>IF(COUNTIF($I$5:I1333,I1333)=1,1,0)</f>
        <v>0</v>
      </c>
    </row>
    <row r="1334" spans="1:11" x14ac:dyDescent="0.2">
      <c r="A1334" s="9">
        <v>1330</v>
      </c>
      <c r="B1334" s="5" t="s">
        <v>1329</v>
      </c>
      <c r="C1334" s="6">
        <v>29580</v>
      </c>
      <c r="D1334" s="6">
        <v>29579</v>
      </c>
      <c r="E1334" s="6">
        <v>30378</v>
      </c>
      <c r="F1334" s="6">
        <v>30333</v>
      </c>
      <c r="G1334" s="6">
        <v>30212</v>
      </c>
      <c r="H1334" s="6">
        <v>30679</v>
      </c>
      <c r="I1334" s="1" t="str">
        <f t="shared" si="40"/>
        <v xml:space="preserve"> Minnesota</v>
      </c>
      <c r="J1334" s="1" t="str">
        <f t="shared" si="41"/>
        <v>Fridley city</v>
      </c>
      <c r="K1334" s="1">
        <f>IF(COUNTIF($I$5:I1334,I1334)=1,1,0)</f>
        <v>0</v>
      </c>
    </row>
    <row r="1335" spans="1:11" x14ac:dyDescent="0.2">
      <c r="A1335" s="9">
        <v>1331</v>
      </c>
      <c r="B1335" s="5" t="s">
        <v>1330</v>
      </c>
      <c r="C1335" s="6">
        <v>30762</v>
      </c>
      <c r="D1335" s="6">
        <v>30740</v>
      </c>
      <c r="E1335" s="6">
        <v>30651</v>
      </c>
      <c r="F1335" s="6">
        <v>30582</v>
      </c>
      <c r="G1335" s="6">
        <v>30558</v>
      </c>
      <c r="H1335" s="6">
        <v>30639</v>
      </c>
      <c r="I1335" s="1" t="str">
        <f t="shared" si="40"/>
        <v xml:space="preserve"> Illinois</v>
      </c>
      <c r="J1335" s="1" t="str">
        <f t="shared" si="41"/>
        <v>North Chicago city</v>
      </c>
      <c r="K1335" s="1">
        <f>IF(COUNTIF($I$5:I1335,I1335)=1,1,0)</f>
        <v>0</v>
      </c>
    </row>
    <row r="1336" spans="1:11" x14ac:dyDescent="0.2">
      <c r="A1336" s="9">
        <v>1332</v>
      </c>
      <c r="B1336" s="5" t="s">
        <v>1331</v>
      </c>
      <c r="C1336" s="6">
        <v>31960</v>
      </c>
      <c r="D1336" s="6">
        <v>31866</v>
      </c>
      <c r="E1336" s="6">
        <v>31396</v>
      </c>
      <c r="F1336" s="6">
        <v>30957</v>
      </c>
      <c r="G1336" s="6">
        <v>30641</v>
      </c>
      <c r="H1336" s="6">
        <v>30588</v>
      </c>
      <c r="I1336" s="1" t="str">
        <f t="shared" si="40"/>
        <v xml:space="preserve"> Utah</v>
      </c>
      <c r="J1336" s="1" t="str">
        <f t="shared" si="41"/>
        <v>Holladay city</v>
      </c>
      <c r="K1336" s="1">
        <f>IF(COUNTIF($I$5:I1336,I1336)=1,1,0)</f>
        <v>0</v>
      </c>
    </row>
    <row r="1337" spans="1:11" x14ac:dyDescent="0.2">
      <c r="A1337" s="9">
        <v>1333</v>
      </c>
      <c r="B1337" s="5" t="s">
        <v>1332</v>
      </c>
      <c r="C1337" s="6">
        <v>30377</v>
      </c>
      <c r="D1337" s="6">
        <v>30403</v>
      </c>
      <c r="E1337" s="6">
        <v>30705</v>
      </c>
      <c r="F1337" s="6">
        <v>30781</v>
      </c>
      <c r="G1337" s="6">
        <v>30544</v>
      </c>
      <c r="H1337" s="6">
        <v>30587</v>
      </c>
      <c r="I1337" s="1" t="str">
        <f t="shared" si="40"/>
        <v xml:space="preserve"> Colorado</v>
      </c>
      <c r="J1337" s="1" t="str">
        <f t="shared" si="41"/>
        <v>Lafayette city</v>
      </c>
      <c r="K1337" s="1">
        <f>IF(COUNTIF($I$5:I1337,I1337)=1,1,0)</f>
        <v>0</v>
      </c>
    </row>
    <row r="1338" spans="1:11" x14ac:dyDescent="0.2">
      <c r="A1338" s="9">
        <v>1334</v>
      </c>
      <c r="B1338" s="5" t="s">
        <v>1333</v>
      </c>
      <c r="C1338" s="6">
        <v>25648</v>
      </c>
      <c r="D1338" s="6">
        <v>25785</v>
      </c>
      <c r="E1338" s="6">
        <v>26644</v>
      </c>
      <c r="F1338" s="6">
        <v>27112</v>
      </c>
      <c r="G1338" s="6">
        <v>27654</v>
      </c>
      <c r="H1338" s="6">
        <v>30581</v>
      </c>
      <c r="I1338" s="1" t="str">
        <f t="shared" si="40"/>
        <v xml:space="preserve"> Minnesota</v>
      </c>
      <c r="J1338" s="1" t="str">
        <f t="shared" si="41"/>
        <v>Rosemount city</v>
      </c>
      <c r="K1338" s="1">
        <f>IF(COUNTIF($I$5:I1338,I1338)=1,1,0)</f>
        <v>0</v>
      </c>
    </row>
    <row r="1339" spans="1:11" x14ac:dyDescent="0.2">
      <c r="A1339" s="9">
        <v>1335</v>
      </c>
      <c r="B1339" s="5" t="s">
        <v>1334</v>
      </c>
      <c r="C1339" s="6">
        <v>30716</v>
      </c>
      <c r="D1339" s="6">
        <v>30657</v>
      </c>
      <c r="E1339" s="6">
        <v>30555</v>
      </c>
      <c r="F1339" s="6">
        <v>30437</v>
      </c>
      <c r="G1339" s="6">
        <v>30431</v>
      </c>
      <c r="H1339" s="6">
        <v>30546</v>
      </c>
      <c r="I1339" s="1" t="str">
        <f t="shared" si="40"/>
        <v xml:space="preserve"> Illinois</v>
      </c>
      <c r="J1339" s="1" t="str">
        <f t="shared" si="41"/>
        <v>Gurnee village</v>
      </c>
      <c r="K1339" s="1">
        <f>IF(COUNTIF($I$5:I1339,I1339)=1,1,0)</f>
        <v>0</v>
      </c>
    </row>
    <row r="1340" spans="1:11" x14ac:dyDescent="0.2">
      <c r="A1340" s="9">
        <v>1336</v>
      </c>
      <c r="B1340" s="5" t="s">
        <v>1335</v>
      </c>
      <c r="C1340" s="6">
        <v>29708</v>
      </c>
      <c r="D1340" s="6">
        <v>29679</v>
      </c>
      <c r="E1340" s="6">
        <v>29978</v>
      </c>
      <c r="F1340" s="6">
        <v>29973</v>
      </c>
      <c r="G1340" s="6">
        <v>30212</v>
      </c>
      <c r="H1340" s="6">
        <v>30539</v>
      </c>
      <c r="I1340" s="1" t="str">
        <f t="shared" si="40"/>
        <v xml:space="preserve"> Illinois</v>
      </c>
      <c r="J1340" s="1" t="str">
        <f t="shared" si="41"/>
        <v>Algonquin village</v>
      </c>
      <c r="K1340" s="1">
        <f>IF(COUNTIF($I$5:I1340,I1340)=1,1,0)</f>
        <v>0</v>
      </c>
    </row>
    <row r="1341" spans="1:11" x14ac:dyDescent="0.2">
      <c r="A1341" s="9">
        <v>1337</v>
      </c>
      <c r="B1341" s="5" t="s">
        <v>1336</v>
      </c>
      <c r="C1341" s="6">
        <v>30621</v>
      </c>
      <c r="D1341" s="6">
        <v>30598</v>
      </c>
      <c r="E1341" s="6">
        <v>29876</v>
      </c>
      <c r="F1341" s="6">
        <v>30176</v>
      </c>
      <c r="G1341" s="6">
        <v>30315</v>
      </c>
      <c r="H1341" s="6">
        <v>30506</v>
      </c>
      <c r="I1341" s="1" t="str">
        <f t="shared" si="40"/>
        <v xml:space="preserve"> Delaware</v>
      </c>
      <c r="J1341" s="1" t="str">
        <f t="shared" si="41"/>
        <v>Newark city</v>
      </c>
      <c r="K1341" s="1">
        <f>IF(COUNTIF($I$5:I1341,I1341)=1,1,0)</f>
        <v>0</v>
      </c>
    </row>
    <row r="1342" spans="1:11" x14ac:dyDescent="0.2">
      <c r="A1342" s="9">
        <v>1338</v>
      </c>
      <c r="B1342" s="5" t="s">
        <v>1337</v>
      </c>
      <c r="C1342" s="6">
        <v>29736</v>
      </c>
      <c r="D1342" s="6">
        <v>29747</v>
      </c>
      <c r="E1342" s="6">
        <v>29984</v>
      </c>
      <c r="F1342" s="6">
        <v>29962</v>
      </c>
      <c r="G1342" s="6">
        <v>30152</v>
      </c>
      <c r="H1342" s="6">
        <v>30491</v>
      </c>
      <c r="I1342" s="1" t="str">
        <f t="shared" si="40"/>
        <v xml:space="preserve"> Massachusetts</v>
      </c>
      <c r="J1342" s="1" t="str">
        <f t="shared" si="41"/>
        <v>Gloucester city</v>
      </c>
      <c r="K1342" s="1">
        <f>IF(COUNTIF($I$5:I1342,I1342)=1,1,0)</f>
        <v>0</v>
      </c>
    </row>
    <row r="1343" spans="1:11" x14ac:dyDescent="0.2">
      <c r="A1343" s="9">
        <v>1339</v>
      </c>
      <c r="B1343" s="5" t="s">
        <v>1338</v>
      </c>
      <c r="C1343" s="6">
        <v>30068</v>
      </c>
      <c r="D1343" s="6">
        <v>30056</v>
      </c>
      <c r="E1343" s="6">
        <v>30169</v>
      </c>
      <c r="F1343" s="6">
        <v>30187</v>
      </c>
      <c r="G1343" s="6">
        <v>30315</v>
      </c>
      <c r="H1343" s="6">
        <v>30490</v>
      </c>
      <c r="I1343" s="1" t="str">
        <f t="shared" si="40"/>
        <v xml:space="preserve"> West Virginia</v>
      </c>
      <c r="J1343" s="1" t="str">
        <f t="shared" si="41"/>
        <v>Morgantown city</v>
      </c>
      <c r="K1343" s="1">
        <f>IF(COUNTIF($I$5:I1343,I1343)=1,1,0)</f>
        <v>0</v>
      </c>
    </row>
    <row r="1344" spans="1:11" x14ac:dyDescent="0.2">
      <c r="A1344" s="9">
        <v>1340</v>
      </c>
      <c r="B1344" s="5" t="s">
        <v>1339</v>
      </c>
      <c r="C1344" s="6">
        <v>31045</v>
      </c>
      <c r="D1344" s="6">
        <v>30918</v>
      </c>
      <c r="E1344" s="6">
        <v>30103</v>
      </c>
      <c r="F1344" s="6">
        <v>29907</v>
      </c>
      <c r="G1344" s="6">
        <v>30062</v>
      </c>
      <c r="H1344" s="6">
        <v>30486</v>
      </c>
      <c r="I1344" s="1" t="str">
        <f t="shared" si="40"/>
        <v xml:space="preserve"> California</v>
      </c>
      <c r="J1344" s="1" t="str">
        <f t="shared" si="41"/>
        <v>Saratoga city</v>
      </c>
      <c r="K1344" s="1">
        <f>IF(COUNTIF($I$5:I1344,I1344)=1,1,0)</f>
        <v>0</v>
      </c>
    </row>
    <row r="1345" spans="1:11" x14ac:dyDescent="0.2">
      <c r="A1345" s="9">
        <v>1341</v>
      </c>
      <c r="B1345" s="5" t="s">
        <v>1340</v>
      </c>
      <c r="C1345" s="6">
        <v>30800</v>
      </c>
      <c r="D1345" s="6">
        <v>30789</v>
      </c>
      <c r="E1345" s="6">
        <v>28568</v>
      </c>
      <c r="F1345" s="6">
        <v>29684</v>
      </c>
      <c r="G1345" s="6">
        <v>30410</v>
      </c>
      <c r="H1345" s="6">
        <v>30463</v>
      </c>
      <c r="I1345" s="1" t="str">
        <f t="shared" si="40"/>
        <v xml:space="preserve"> Ohio</v>
      </c>
      <c r="J1345" s="1" t="str">
        <f t="shared" si="41"/>
        <v>Bowling Green city</v>
      </c>
      <c r="K1345" s="1">
        <f>IF(COUNTIF($I$5:I1345,I1345)=1,1,0)</f>
        <v>0</v>
      </c>
    </row>
    <row r="1346" spans="1:11" x14ac:dyDescent="0.2">
      <c r="A1346" s="9">
        <v>1342</v>
      </c>
      <c r="B1346" s="5" t="s">
        <v>1341</v>
      </c>
      <c r="C1346" s="6">
        <v>26093</v>
      </c>
      <c r="D1346" s="6">
        <v>26068</v>
      </c>
      <c r="E1346" s="6">
        <v>26183</v>
      </c>
      <c r="F1346" s="6">
        <v>27377</v>
      </c>
      <c r="G1346" s="6">
        <v>29273</v>
      </c>
      <c r="H1346" s="6">
        <v>30449</v>
      </c>
      <c r="I1346" s="1" t="str">
        <f t="shared" si="40"/>
        <v xml:space="preserve"> Oregon</v>
      </c>
      <c r="J1346" s="1" t="str">
        <f t="shared" si="41"/>
        <v>Woodburn city</v>
      </c>
      <c r="K1346" s="1">
        <f>IF(COUNTIF($I$5:I1346,I1346)=1,1,0)</f>
        <v>0</v>
      </c>
    </row>
    <row r="1347" spans="1:11" x14ac:dyDescent="0.2">
      <c r="A1347" s="9">
        <v>1343</v>
      </c>
      <c r="B1347" s="5" t="s">
        <v>1342</v>
      </c>
      <c r="C1347" s="6">
        <v>28298</v>
      </c>
      <c r="D1347" s="6">
        <v>28270</v>
      </c>
      <c r="E1347" s="6">
        <v>28032</v>
      </c>
      <c r="F1347" s="6">
        <v>27857</v>
      </c>
      <c r="G1347" s="6">
        <v>28276</v>
      </c>
      <c r="H1347" s="6">
        <v>30441</v>
      </c>
      <c r="I1347" s="1" t="str">
        <f t="shared" si="40"/>
        <v xml:space="preserve"> Minnesota</v>
      </c>
      <c r="J1347" s="1" t="str">
        <f t="shared" si="41"/>
        <v>Oakdale city</v>
      </c>
      <c r="K1347" s="1">
        <f>IF(COUNTIF($I$5:I1347,I1347)=1,1,0)</f>
        <v>0</v>
      </c>
    </row>
    <row r="1348" spans="1:11" x14ac:dyDescent="0.2">
      <c r="A1348" s="9">
        <v>1344</v>
      </c>
      <c r="B1348" s="5" t="s">
        <v>1343</v>
      </c>
      <c r="C1348" s="6">
        <v>28127</v>
      </c>
      <c r="D1348" s="6">
        <v>28087</v>
      </c>
      <c r="E1348" s="6">
        <v>30202</v>
      </c>
      <c r="F1348" s="6">
        <v>29579</v>
      </c>
      <c r="G1348" s="6">
        <v>30368</v>
      </c>
      <c r="H1348" s="6">
        <v>30432</v>
      </c>
      <c r="I1348" s="1" t="str">
        <f t="shared" si="40"/>
        <v xml:space="preserve"> Pennsylvania</v>
      </c>
      <c r="J1348" s="1" t="str">
        <f t="shared" si="41"/>
        <v>Easton city</v>
      </c>
      <c r="K1348" s="1">
        <f>IF(COUNTIF($I$5:I1348,I1348)=1,1,0)</f>
        <v>0</v>
      </c>
    </row>
    <row r="1349" spans="1:11" x14ac:dyDescent="0.2">
      <c r="A1349" s="9">
        <v>1345</v>
      </c>
      <c r="B1349" s="5" t="s">
        <v>1344</v>
      </c>
      <c r="C1349" s="6">
        <v>31367</v>
      </c>
      <c r="D1349" s="6">
        <v>31310</v>
      </c>
      <c r="E1349" s="6">
        <v>30966</v>
      </c>
      <c r="F1349" s="6">
        <v>30662</v>
      </c>
      <c r="G1349" s="6">
        <v>30418</v>
      </c>
      <c r="H1349" s="6">
        <v>30378</v>
      </c>
      <c r="I1349" s="1" t="str">
        <f t="shared" si="40"/>
        <v xml:space="preserve"> California</v>
      </c>
      <c r="J1349" s="1" t="str">
        <f t="shared" si="41"/>
        <v>Laguna Hills city</v>
      </c>
      <c r="K1349" s="1">
        <f>IF(COUNTIF($I$5:I1349,I1349)=1,1,0)</f>
        <v>0</v>
      </c>
    </row>
    <row r="1350" spans="1:11" x14ac:dyDescent="0.2">
      <c r="A1350" s="9">
        <v>1346</v>
      </c>
      <c r="B1350" s="5" t="s">
        <v>1345</v>
      </c>
      <c r="C1350" s="6">
        <v>29939</v>
      </c>
      <c r="D1350" s="6">
        <v>29916</v>
      </c>
      <c r="E1350" s="6">
        <v>30059</v>
      </c>
      <c r="F1350" s="6">
        <v>30047</v>
      </c>
      <c r="G1350" s="6">
        <v>30181</v>
      </c>
      <c r="H1350" s="6">
        <v>30354</v>
      </c>
      <c r="I1350" s="1" t="str">
        <f t="shared" ref="I1350:I1413" si="42">_xlfn.TEXTAFTER(B1350,",")</f>
        <v xml:space="preserve"> Pennsylvania</v>
      </c>
      <c r="J1350" s="1" t="str">
        <f t="shared" ref="J1350:J1413" si="43">_xlfn.TEXTBEFORE(B1350,", ")</f>
        <v>Hazleton city</v>
      </c>
      <c r="K1350" s="1">
        <f>IF(COUNTIF($I$5:I1350,I1350)=1,1,0)</f>
        <v>0</v>
      </c>
    </row>
    <row r="1351" spans="1:11" x14ac:dyDescent="0.2">
      <c r="A1351" s="9">
        <v>1347</v>
      </c>
      <c r="B1351" s="5" t="s">
        <v>1346</v>
      </c>
      <c r="C1351" s="6">
        <v>30067</v>
      </c>
      <c r="D1351" s="6">
        <v>29983</v>
      </c>
      <c r="E1351" s="6">
        <v>29559</v>
      </c>
      <c r="F1351" s="6">
        <v>29560</v>
      </c>
      <c r="G1351" s="6">
        <v>29685</v>
      </c>
      <c r="H1351" s="6">
        <v>30238</v>
      </c>
      <c r="I1351" s="1" t="str">
        <f t="shared" si="42"/>
        <v xml:space="preserve"> Maryland</v>
      </c>
      <c r="J1351" s="1" t="str">
        <f t="shared" si="43"/>
        <v>Laurel city</v>
      </c>
      <c r="K1351" s="1">
        <f>IF(COUNTIF($I$5:I1351,I1351)=1,1,0)</f>
        <v>0</v>
      </c>
    </row>
    <row r="1352" spans="1:11" x14ac:dyDescent="0.2">
      <c r="A1352" s="9">
        <v>1348</v>
      </c>
      <c r="B1352" s="5" t="s">
        <v>1347</v>
      </c>
      <c r="C1352" s="6">
        <v>29309</v>
      </c>
      <c r="D1352" s="6">
        <v>29232</v>
      </c>
      <c r="E1352" s="6">
        <v>29162</v>
      </c>
      <c r="F1352" s="6">
        <v>29686</v>
      </c>
      <c r="G1352" s="6">
        <v>29897</v>
      </c>
      <c r="H1352" s="6">
        <v>30221</v>
      </c>
      <c r="I1352" s="1" t="str">
        <f t="shared" si="42"/>
        <v xml:space="preserve"> New Jersey</v>
      </c>
      <c r="J1352" s="1" t="str">
        <f t="shared" si="43"/>
        <v>Englewood city</v>
      </c>
      <c r="K1352" s="1">
        <f>IF(COUNTIF($I$5:I1352,I1352)=1,1,0)</f>
        <v>0</v>
      </c>
    </row>
    <row r="1353" spans="1:11" x14ac:dyDescent="0.2">
      <c r="A1353" s="9">
        <v>1349</v>
      </c>
      <c r="B1353" s="5" t="s">
        <v>1348</v>
      </c>
      <c r="C1353" s="6">
        <v>28690</v>
      </c>
      <c r="D1353" s="6">
        <v>28786</v>
      </c>
      <c r="E1353" s="6">
        <v>29098</v>
      </c>
      <c r="F1353" s="6">
        <v>29343</v>
      </c>
      <c r="G1353" s="6">
        <v>29664</v>
      </c>
      <c r="H1353" s="6">
        <v>30196</v>
      </c>
      <c r="I1353" s="1" t="str">
        <f t="shared" si="42"/>
        <v xml:space="preserve"> Kentucky</v>
      </c>
      <c r="J1353" s="1" t="str">
        <f t="shared" si="43"/>
        <v>Independence city</v>
      </c>
      <c r="K1353" s="1">
        <f>IF(COUNTIF($I$5:I1353,I1353)=1,1,0)</f>
        <v>0</v>
      </c>
    </row>
    <row r="1354" spans="1:11" x14ac:dyDescent="0.2">
      <c r="A1354" s="9">
        <v>1350</v>
      </c>
      <c r="B1354" s="5" t="s">
        <v>1349</v>
      </c>
      <c r="C1354" s="6">
        <v>31589</v>
      </c>
      <c r="D1354" s="6">
        <v>31480</v>
      </c>
      <c r="E1354" s="6">
        <v>30805</v>
      </c>
      <c r="F1354" s="6">
        <v>30378</v>
      </c>
      <c r="G1354" s="6">
        <v>30178</v>
      </c>
      <c r="H1354" s="6">
        <v>30192</v>
      </c>
      <c r="I1354" s="1" t="str">
        <f t="shared" si="42"/>
        <v xml:space="preserve"> California</v>
      </c>
      <c r="J1354" s="1" t="str">
        <f t="shared" si="43"/>
        <v>La Verne city</v>
      </c>
      <c r="K1354" s="1">
        <f>IF(COUNTIF($I$5:I1354,I1354)=1,1,0)</f>
        <v>0</v>
      </c>
    </row>
    <row r="1355" spans="1:11" x14ac:dyDescent="0.2">
      <c r="A1355" s="9">
        <v>1351</v>
      </c>
      <c r="B1355" s="5" t="s">
        <v>1350</v>
      </c>
      <c r="C1355" s="6">
        <v>30361</v>
      </c>
      <c r="D1355" s="6">
        <v>30301</v>
      </c>
      <c r="E1355" s="6">
        <v>30453</v>
      </c>
      <c r="F1355" s="6">
        <v>30298</v>
      </c>
      <c r="G1355" s="6">
        <v>30258</v>
      </c>
      <c r="H1355" s="6">
        <v>30188</v>
      </c>
      <c r="I1355" s="1" t="str">
        <f t="shared" si="42"/>
        <v xml:space="preserve"> New York</v>
      </c>
      <c r="J1355" s="1" t="str">
        <f t="shared" si="43"/>
        <v>Middletown city</v>
      </c>
      <c r="K1355" s="1">
        <f>IF(COUNTIF($I$5:I1355,I1355)=1,1,0)</f>
        <v>0</v>
      </c>
    </row>
    <row r="1356" spans="1:11" x14ac:dyDescent="0.2">
      <c r="A1356" s="9">
        <v>1352</v>
      </c>
      <c r="B1356" s="5" t="s">
        <v>1351</v>
      </c>
      <c r="C1356" s="6">
        <v>27807</v>
      </c>
      <c r="D1356" s="6">
        <v>27875</v>
      </c>
      <c r="E1356" s="6">
        <v>28094</v>
      </c>
      <c r="F1356" s="6">
        <v>28306</v>
      </c>
      <c r="G1356" s="6">
        <v>29064</v>
      </c>
      <c r="H1356" s="6">
        <v>30167</v>
      </c>
      <c r="I1356" s="1" t="str">
        <f t="shared" si="42"/>
        <v xml:space="preserve"> Minnesota</v>
      </c>
      <c r="J1356" s="1" t="str">
        <f t="shared" si="43"/>
        <v>Chaska city</v>
      </c>
      <c r="K1356" s="1">
        <f>IF(COUNTIF($I$5:I1356,I1356)=1,1,0)</f>
        <v>0</v>
      </c>
    </row>
    <row r="1357" spans="1:11" x14ac:dyDescent="0.2">
      <c r="A1357" s="9">
        <v>1353</v>
      </c>
      <c r="B1357" s="5" t="s">
        <v>1352</v>
      </c>
      <c r="C1357" s="6">
        <v>29569</v>
      </c>
      <c r="D1357" s="6">
        <v>29563</v>
      </c>
      <c r="E1357" s="6">
        <v>29585</v>
      </c>
      <c r="F1357" s="6">
        <v>29745</v>
      </c>
      <c r="G1357" s="6">
        <v>29923</v>
      </c>
      <c r="H1357" s="6">
        <v>30161</v>
      </c>
      <c r="I1357" s="1" t="str">
        <f t="shared" si="42"/>
        <v xml:space="preserve"> Louisiana</v>
      </c>
      <c r="J1357" s="1" t="str">
        <f t="shared" si="43"/>
        <v>Central city</v>
      </c>
      <c r="K1357" s="1">
        <f>IF(COUNTIF($I$5:I1357,I1357)=1,1,0)</f>
        <v>0</v>
      </c>
    </row>
    <row r="1358" spans="1:11" x14ac:dyDescent="0.2">
      <c r="A1358" s="9">
        <v>1354</v>
      </c>
      <c r="B1358" s="5" t="s">
        <v>1353</v>
      </c>
      <c r="C1358" s="6">
        <v>31821</v>
      </c>
      <c r="D1358" s="6">
        <v>31730</v>
      </c>
      <c r="E1358" s="6">
        <v>31073</v>
      </c>
      <c r="F1358" s="6">
        <v>30626</v>
      </c>
      <c r="G1358" s="6">
        <v>30333</v>
      </c>
      <c r="H1358" s="6">
        <v>30160</v>
      </c>
      <c r="I1358" s="1" t="str">
        <f t="shared" si="42"/>
        <v xml:space="preserve"> California</v>
      </c>
      <c r="J1358" s="1" t="str">
        <f t="shared" si="43"/>
        <v>Lawndale city</v>
      </c>
      <c r="K1358" s="1">
        <f>IF(COUNTIF($I$5:I1358,I1358)=1,1,0)</f>
        <v>0</v>
      </c>
    </row>
    <row r="1359" spans="1:11" x14ac:dyDescent="0.2">
      <c r="A1359" s="9">
        <v>1355</v>
      </c>
      <c r="B1359" s="5" t="s">
        <v>1354</v>
      </c>
      <c r="C1359" s="6">
        <v>27976</v>
      </c>
      <c r="D1359" s="6">
        <v>27995</v>
      </c>
      <c r="E1359" s="6">
        <v>28445</v>
      </c>
      <c r="F1359" s="6">
        <v>28709</v>
      </c>
      <c r="G1359" s="6">
        <v>29226</v>
      </c>
      <c r="H1359" s="6">
        <v>29992</v>
      </c>
      <c r="I1359" s="1" t="str">
        <f t="shared" si="42"/>
        <v xml:space="preserve"> Virginia</v>
      </c>
      <c r="J1359" s="1" t="str">
        <f t="shared" si="43"/>
        <v>Fredericksburg city</v>
      </c>
      <c r="K1359" s="1">
        <f>IF(COUNTIF($I$5:I1359,I1359)=1,1,0)</f>
        <v>0</v>
      </c>
    </row>
    <row r="1360" spans="1:11" x14ac:dyDescent="0.2">
      <c r="A1360" s="9">
        <v>1356</v>
      </c>
      <c r="B1360" s="5" t="s">
        <v>1355</v>
      </c>
      <c r="C1360" s="6">
        <v>30495</v>
      </c>
      <c r="D1360" s="6">
        <v>30433</v>
      </c>
      <c r="E1360" s="6">
        <v>30404</v>
      </c>
      <c r="F1360" s="6">
        <v>30181</v>
      </c>
      <c r="G1360" s="6">
        <v>30053</v>
      </c>
      <c r="H1360" s="6">
        <v>29981</v>
      </c>
      <c r="I1360" s="1" t="str">
        <f t="shared" si="42"/>
        <v xml:space="preserve"> New York</v>
      </c>
      <c r="J1360" s="1" t="str">
        <f t="shared" si="43"/>
        <v>North Tonawanda city</v>
      </c>
      <c r="K1360" s="1">
        <f>IF(COUNTIF($I$5:I1360,I1360)=1,1,0)</f>
        <v>0</v>
      </c>
    </row>
    <row r="1361" spans="1:11" x14ac:dyDescent="0.2">
      <c r="A1361" s="9">
        <v>1357</v>
      </c>
      <c r="B1361" s="5" t="s">
        <v>1356</v>
      </c>
      <c r="C1361" s="6">
        <v>29821</v>
      </c>
      <c r="D1361" s="6">
        <v>29740</v>
      </c>
      <c r="E1361" s="6">
        <v>29408</v>
      </c>
      <c r="F1361" s="6">
        <v>29491</v>
      </c>
      <c r="G1361" s="6">
        <v>29673</v>
      </c>
      <c r="H1361" s="6">
        <v>29938</v>
      </c>
      <c r="I1361" s="1" t="str">
        <f t="shared" si="42"/>
        <v xml:space="preserve"> Massachusetts</v>
      </c>
      <c r="J1361" s="1" t="str">
        <f t="shared" si="43"/>
        <v>Melrose city</v>
      </c>
      <c r="K1361" s="1">
        <f>IF(COUNTIF($I$5:I1361,I1361)=1,1,0)</f>
        <v>0</v>
      </c>
    </row>
    <row r="1362" spans="1:11" x14ac:dyDescent="0.2">
      <c r="A1362" s="9">
        <v>1358</v>
      </c>
      <c r="B1362" s="5" t="s">
        <v>1357</v>
      </c>
      <c r="C1362" s="6">
        <v>30905</v>
      </c>
      <c r="D1362" s="6">
        <v>30789</v>
      </c>
      <c r="E1362" s="6">
        <v>30231</v>
      </c>
      <c r="F1362" s="6">
        <v>29843</v>
      </c>
      <c r="G1362" s="6">
        <v>29739</v>
      </c>
      <c r="H1362" s="6">
        <v>29918</v>
      </c>
      <c r="I1362" s="1" t="str">
        <f t="shared" si="42"/>
        <v xml:space="preserve"> Illinois</v>
      </c>
      <c r="J1362" s="1" t="str">
        <f t="shared" si="43"/>
        <v>Niles village</v>
      </c>
      <c r="K1362" s="1">
        <f>IF(COUNTIF($I$5:I1362,I1362)=1,1,0)</f>
        <v>0</v>
      </c>
    </row>
    <row r="1363" spans="1:11" x14ac:dyDescent="0.2">
      <c r="A1363" s="9">
        <v>1359</v>
      </c>
      <c r="B1363" s="5" t="s">
        <v>1358</v>
      </c>
      <c r="C1363" s="6">
        <v>25466</v>
      </c>
      <c r="D1363" s="6">
        <v>25599</v>
      </c>
      <c r="E1363" s="6">
        <v>26289</v>
      </c>
      <c r="F1363" s="6">
        <v>27373</v>
      </c>
      <c r="G1363" s="6">
        <v>28325</v>
      </c>
      <c r="H1363" s="6">
        <v>29902</v>
      </c>
      <c r="I1363" s="1" t="str">
        <f t="shared" si="42"/>
        <v xml:space="preserve"> Florida</v>
      </c>
      <c r="J1363" s="1" t="str">
        <f t="shared" si="43"/>
        <v>Venice city</v>
      </c>
      <c r="K1363" s="1">
        <f>IF(COUNTIF($I$5:I1363,I1363)=1,1,0)</f>
        <v>0</v>
      </c>
    </row>
    <row r="1364" spans="1:11" x14ac:dyDescent="0.2">
      <c r="A1364" s="9">
        <v>1360</v>
      </c>
      <c r="B1364" s="5" t="s">
        <v>1359</v>
      </c>
      <c r="C1364" s="6">
        <v>27057</v>
      </c>
      <c r="D1364" s="6">
        <v>27143</v>
      </c>
      <c r="E1364" s="6">
        <v>27564</v>
      </c>
      <c r="F1364" s="6">
        <v>28273</v>
      </c>
      <c r="G1364" s="6">
        <v>28805</v>
      </c>
      <c r="H1364" s="6">
        <v>29869</v>
      </c>
      <c r="I1364" s="1" t="str">
        <f t="shared" si="42"/>
        <v xml:space="preserve"> Texas</v>
      </c>
      <c r="J1364" s="1" t="str">
        <f t="shared" si="43"/>
        <v>Alvin city</v>
      </c>
      <c r="K1364" s="1">
        <f>IF(COUNTIF($I$5:I1364,I1364)=1,1,0)</f>
        <v>0</v>
      </c>
    </row>
    <row r="1365" spans="1:11" x14ac:dyDescent="0.2">
      <c r="A1365" s="9">
        <v>1361</v>
      </c>
      <c r="B1365" s="5" t="s">
        <v>1360</v>
      </c>
      <c r="C1365" s="6">
        <v>29660</v>
      </c>
      <c r="D1365" s="6">
        <v>29663</v>
      </c>
      <c r="E1365" s="6">
        <v>29722</v>
      </c>
      <c r="F1365" s="6">
        <v>29691</v>
      </c>
      <c r="G1365" s="6">
        <v>29656</v>
      </c>
      <c r="H1365" s="6">
        <v>29780</v>
      </c>
      <c r="I1365" s="1" t="str">
        <f t="shared" si="42"/>
        <v xml:space="preserve"> Indiana</v>
      </c>
      <c r="J1365" s="1" t="str">
        <f t="shared" si="43"/>
        <v>Schererville town</v>
      </c>
      <c r="K1365" s="1">
        <f>IF(COUNTIF($I$5:I1365,I1365)=1,1,0)</f>
        <v>0</v>
      </c>
    </row>
    <row r="1366" spans="1:11" x14ac:dyDescent="0.2">
      <c r="A1366" s="9">
        <v>1362</v>
      </c>
      <c r="B1366" s="5" t="s">
        <v>1361</v>
      </c>
      <c r="C1366" s="6">
        <v>24755</v>
      </c>
      <c r="D1366" s="6">
        <v>24786</v>
      </c>
      <c r="E1366" s="6">
        <v>25682</v>
      </c>
      <c r="F1366" s="6">
        <v>26903</v>
      </c>
      <c r="G1366" s="6">
        <v>28113</v>
      </c>
      <c r="H1366" s="6">
        <v>29746</v>
      </c>
      <c r="I1366" s="1" t="str">
        <f t="shared" si="42"/>
        <v xml:space="preserve"> South Carolina</v>
      </c>
      <c r="J1366" s="1" t="str">
        <f t="shared" si="43"/>
        <v>Mauldin city</v>
      </c>
      <c r="K1366" s="1">
        <f>IF(COUNTIF($I$5:I1366,I1366)=1,1,0)</f>
        <v>0</v>
      </c>
    </row>
    <row r="1367" spans="1:11" x14ac:dyDescent="0.2">
      <c r="A1367" s="9">
        <v>1363</v>
      </c>
      <c r="B1367" s="5" t="s">
        <v>1362</v>
      </c>
      <c r="C1367" s="6">
        <v>29777</v>
      </c>
      <c r="D1367" s="6">
        <v>29746</v>
      </c>
      <c r="E1367" s="6">
        <v>29754</v>
      </c>
      <c r="F1367" s="6">
        <v>29692</v>
      </c>
      <c r="G1367" s="6">
        <v>29692</v>
      </c>
      <c r="H1367" s="6">
        <v>29743</v>
      </c>
      <c r="I1367" s="1" t="str">
        <f t="shared" si="42"/>
        <v xml:space="preserve"> California</v>
      </c>
      <c r="J1367" s="1" t="str">
        <f t="shared" si="43"/>
        <v>Atascadero city</v>
      </c>
      <c r="K1367" s="1">
        <f>IF(COUNTIF($I$5:I1367,I1367)=1,1,0)</f>
        <v>0</v>
      </c>
    </row>
    <row r="1368" spans="1:11" x14ac:dyDescent="0.2">
      <c r="A1368" s="9">
        <v>1364</v>
      </c>
      <c r="B1368" s="5" t="s">
        <v>1363</v>
      </c>
      <c r="C1368" s="6">
        <v>25035</v>
      </c>
      <c r="D1368" s="6">
        <v>25176</v>
      </c>
      <c r="E1368" s="6">
        <v>25735</v>
      </c>
      <c r="F1368" s="6">
        <v>27476</v>
      </c>
      <c r="G1368" s="6">
        <v>28293</v>
      </c>
      <c r="H1368" s="6">
        <v>29656</v>
      </c>
      <c r="I1368" s="1" t="str">
        <f t="shared" si="42"/>
        <v xml:space="preserve"> South Carolina</v>
      </c>
      <c r="J1368" s="1" t="str">
        <f t="shared" si="43"/>
        <v>Conway city</v>
      </c>
      <c r="K1368" s="1">
        <f>IF(COUNTIF($I$5:I1368,I1368)=1,1,0)</f>
        <v>0</v>
      </c>
    </row>
    <row r="1369" spans="1:11" x14ac:dyDescent="0.2">
      <c r="A1369" s="9">
        <v>1365</v>
      </c>
      <c r="B1369" s="5" t="s">
        <v>1364</v>
      </c>
      <c r="C1369" s="6">
        <v>29517</v>
      </c>
      <c r="D1369" s="6">
        <v>29478</v>
      </c>
      <c r="E1369" s="6">
        <v>29263</v>
      </c>
      <c r="F1369" s="6">
        <v>28994</v>
      </c>
      <c r="G1369" s="6">
        <v>29096</v>
      </c>
      <c r="H1369" s="6">
        <v>29614</v>
      </c>
      <c r="I1369" s="1" t="str">
        <f t="shared" si="42"/>
        <v xml:space="preserve"> California</v>
      </c>
      <c r="J1369" s="1" t="str">
        <f t="shared" si="43"/>
        <v>Suisun City city</v>
      </c>
      <c r="K1369" s="1">
        <f>IF(COUNTIF($I$5:I1369,I1369)=1,1,0)</f>
        <v>0</v>
      </c>
    </row>
    <row r="1370" spans="1:11" x14ac:dyDescent="0.2">
      <c r="A1370" s="9">
        <v>1366</v>
      </c>
      <c r="B1370" s="5" t="s">
        <v>1365</v>
      </c>
      <c r="C1370" s="6">
        <v>29801</v>
      </c>
      <c r="D1370" s="6">
        <v>29887</v>
      </c>
      <c r="E1370" s="6">
        <v>29713</v>
      </c>
      <c r="F1370" s="6">
        <v>28958</v>
      </c>
      <c r="G1370" s="6">
        <v>28574</v>
      </c>
      <c r="H1370" s="6">
        <v>29457</v>
      </c>
      <c r="I1370" s="1" t="str">
        <f t="shared" si="42"/>
        <v xml:space="preserve"> Colorado</v>
      </c>
      <c r="J1370" s="1" t="str">
        <f t="shared" si="43"/>
        <v>Fountain city</v>
      </c>
      <c r="K1370" s="1">
        <f>IF(COUNTIF($I$5:I1370,I1370)=1,1,0)</f>
        <v>0</v>
      </c>
    </row>
    <row r="1371" spans="1:11" x14ac:dyDescent="0.2">
      <c r="A1371" s="9">
        <v>1367</v>
      </c>
      <c r="B1371" s="5" t="s">
        <v>1366</v>
      </c>
      <c r="C1371" s="6">
        <v>28931</v>
      </c>
      <c r="D1371" s="6">
        <v>28948</v>
      </c>
      <c r="E1371" s="6">
        <v>28980</v>
      </c>
      <c r="F1371" s="6">
        <v>29084</v>
      </c>
      <c r="G1371" s="6">
        <v>29371</v>
      </c>
      <c r="H1371" s="6">
        <v>29442</v>
      </c>
      <c r="I1371" s="1" t="str">
        <f t="shared" si="42"/>
        <v xml:space="preserve"> Arkansas</v>
      </c>
      <c r="J1371" s="1" t="str">
        <f t="shared" si="43"/>
        <v>Russellville city</v>
      </c>
      <c r="K1371" s="1">
        <f>IF(COUNTIF($I$5:I1371,I1371)=1,1,0)</f>
        <v>0</v>
      </c>
    </row>
    <row r="1372" spans="1:11" x14ac:dyDescent="0.2">
      <c r="A1372" s="9">
        <v>1368</v>
      </c>
      <c r="B1372" s="5" t="s">
        <v>1367</v>
      </c>
      <c r="C1372" s="6">
        <v>29709</v>
      </c>
      <c r="D1372" s="6">
        <v>29669</v>
      </c>
      <c r="E1372" s="6">
        <v>29574</v>
      </c>
      <c r="F1372" s="6">
        <v>29462</v>
      </c>
      <c r="G1372" s="6">
        <v>29402</v>
      </c>
      <c r="H1372" s="6">
        <v>29420</v>
      </c>
      <c r="I1372" s="1" t="str">
        <f t="shared" si="42"/>
        <v xml:space="preserve"> Michigan</v>
      </c>
      <c r="J1372" s="1" t="str">
        <f t="shared" si="43"/>
        <v>Burton city</v>
      </c>
      <c r="K1372" s="1">
        <f>IF(COUNTIF($I$5:I1372,I1372)=1,1,0)</f>
        <v>0</v>
      </c>
    </row>
    <row r="1373" spans="1:11" x14ac:dyDescent="0.2">
      <c r="A1373" s="9">
        <v>1369</v>
      </c>
      <c r="B1373" s="5" t="s">
        <v>1368</v>
      </c>
      <c r="C1373" s="6">
        <v>29741</v>
      </c>
      <c r="D1373" s="6">
        <v>29719</v>
      </c>
      <c r="E1373" s="6">
        <v>29594</v>
      </c>
      <c r="F1373" s="6">
        <v>29480</v>
      </c>
      <c r="G1373" s="6">
        <v>29400</v>
      </c>
      <c r="H1373" s="6">
        <v>29418</v>
      </c>
      <c r="I1373" s="1" t="str">
        <f t="shared" si="42"/>
        <v xml:space="preserve"> Indiana</v>
      </c>
      <c r="J1373" s="1" t="str">
        <f t="shared" si="43"/>
        <v>Hobart city</v>
      </c>
      <c r="K1373" s="1">
        <f>IF(COUNTIF($I$5:I1373,I1373)=1,1,0)</f>
        <v>0</v>
      </c>
    </row>
    <row r="1374" spans="1:11" x14ac:dyDescent="0.2">
      <c r="A1374" s="9">
        <v>1370</v>
      </c>
      <c r="B1374" s="5" t="s">
        <v>1369</v>
      </c>
      <c r="C1374" s="6">
        <v>30734</v>
      </c>
      <c r="D1374" s="6">
        <v>30648</v>
      </c>
      <c r="E1374" s="6">
        <v>29634</v>
      </c>
      <c r="F1374" s="6">
        <v>29244</v>
      </c>
      <c r="G1374" s="6">
        <v>29182</v>
      </c>
      <c r="H1374" s="6">
        <v>29403</v>
      </c>
      <c r="I1374" s="1" t="str">
        <f t="shared" si="42"/>
        <v xml:space="preserve"> California</v>
      </c>
      <c r="J1374" s="1" t="str">
        <f t="shared" si="43"/>
        <v>San Carlos city</v>
      </c>
      <c r="K1374" s="1">
        <f>IF(COUNTIF($I$5:I1374,I1374)=1,1,0)</f>
        <v>0</v>
      </c>
    </row>
    <row r="1375" spans="1:11" x14ac:dyDescent="0.2">
      <c r="A1375" s="9">
        <v>1371</v>
      </c>
      <c r="B1375" s="5" t="s">
        <v>1370</v>
      </c>
      <c r="C1375" s="6">
        <v>29570</v>
      </c>
      <c r="D1375" s="6">
        <v>29490</v>
      </c>
      <c r="E1375" s="6">
        <v>29338</v>
      </c>
      <c r="F1375" s="6">
        <v>29201</v>
      </c>
      <c r="G1375" s="6">
        <v>29190</v>
      </c>
      <c r="H1375" s="6">
        <v>29402</v>
      </c>
      <c r="I1375" s="1" t="str">
        <f t="shared" si="42"/>
        <v xml:space="preserve"> Michigan</v>
      </c>
      <c r="J1375" s="1" t="str">
        <f t="shared" si="43"/>
        <v>Oak Park city</v>
      </c>
      <c r="K1375" s="1">
        <f>IF(COUNTIF($I$5:I1375,I1375)=1,1,0)</f>
        <v>0</v>
      </c>
    </row>
    <row r="1376" spans="1:11" x14ac:dyDescent="0.2">
      <c r="A1376" s="9">
        <v>1372</v>
      </c>
      <c r="B1376" s="5" t="s">
        <v>1371</v>
      </c>
      <c r="C1376" s="6">
        <v>29322</v>
      </c>
      <c r="D1376" s="6">
        <v>29271</v>
      </c>
      <c r="E1376" s="6">
        <v>29127</v>
      </c>
      <c r="F1376" s="6">
        <v>29122</v>
      </c>
      <c r="G1376" s="6">
        <v>29212</v>
      </c>
      <c r="H1376" s="6">
        <v>29388</v>
      </c>
      <c r="I1376" s="1" t="str">
        <f t="shared" si="42"/>
        <v xml:space="preserve"> Kentucky</v>
      </c>
      <c r="J1376" s="1" t="str">
        <f t="shared" si="43"/>
        <v>Jeffersontown city</v>
      </c>
      <c r="K1376" s="1">
        <f>IF(COUNTIF($I$5:I1376,I1376)=1,1,0)</f>
        <v>0</v>
      </c>
    </row>
    <row r="1377" spans="1:11" x14ac:dyDescent="0.2">
      <c r="A1377" s="9">
        <v>1373</v>
      </c>
      <c r="B1377" s="5" t="s">
        <v>1372</v>
      </c>
      <c r="C1377" s="6">
        <v>29469</v>
      </c>
      <c r="D1377" s="6">
        <v>29457</v>
      </c>
      <c r="E1377" s="6">
        <v>29395</v>
      </c>
      <c r="F1377" s="6">
        <v>29317</v>
      </c>
      <c r="G1377" s="6">
        <v>29283</v>
      </c>
      <c r="H1377" s="6">
        <v>29348</v>
      </c>
      <c r="I1377" s="1" t="str">
        <f t="shared" si="42"/>
        <v xml:space="preserve"> Missouri</v>
      </c>
      <c r="J1377" s="1" t="str">
        <f t="shared" si="43"/>
        <v>Kirkwood city</v>
      </c>
      <c r="K1377" s="1">
        <f>IF(COUNTIF($I$5:I1377,I1377)=1,1,0)</f>
        <v>0</v>
      </c>
    </row>
    <row r="1378" spans="1:11" x14ac:dyDescent="0.2">
      <c r="A1378" s="9">
        <v>1374</v>
      </c>
      <c r="B1378" s="5" t="s">
        <v>1373</v>
      </c>
      <c r="C1378" s="6">
        <v>30035</v>
      </c>
      <c r="D1378" s="6">
        <v>29944</v>
      </c>
      <c r="E1378" s="6">
        <v>28911</v>
      </c>
      <c r="F1378" s="6">
        <v>28529</v>
      </c>
      <c r="G1378" s="6">
        <v>28687</v>
      </c>
      <c r="H1378" s="6">
        <v>29296</v>
      </c>
      <c r="I1378" s="1" t="str">
        <f t="shared" si="42"/>
        <v xml:space="preserve"> California</v>
      </c>
      <c r="J1378" s="1" t="str">
        <f t="shared" si="43"/>
        <v>East Palo Alto city</v>
      </c>
      <c r="K1378" s="1">
        <f>IF(COUNTIF($I$5:I1378,I1378)=1,1,0)</f>
        <v>0</v>
      </c>
    </row>
    <row r="1379" spans="1:11" x14ac:dyDescent="0.2">
      <c r="A1379" s="9">
        <v>1375</v>
      </c>
      <c r="B1379" s="5" t="s">
        <v>1374</v>
      </c>
      <c r="C1379" s="6">
        <v>30042</v>
      </c>
      <c r="D1379" s="6">
        <v>29942</v>
      </c>
      <c r="E1379" s="6">
        <v>29646</v>
      </c>
      <c r="F1379" s="6">
        <v>29292</v>
      </c>
      <c r="G1379" s="6">
        <v>29260</v>
      </c>
      <c r="H1379" s="6">
        <v>29289</v>
      </c>
      <c r="I1379" s="1" t="str">
        <f t="shared" si="42"/>
        <v xml:space="preserve"> Illinois</v>
      </c>
      <c r="J1379" s="1" t="str">
        <f t="shared" si="43"/>
        <v>Galesburg city</v>
      </c>
      <c r="K1379" s="1">
        <f>IF(COUNTIF($I$5:I1379,I1379)=1,1,0)</f>
        <v>0</v>
      </c>
    </row>
    <row r="1380" spans="1:11" x14ac:dyDescent="0.2">
      <c r="A1380" s="9">
        <v>1376</v>
      </c>
      <c r="B1380" s="5" t="s">
        <v>1375</v>
      </c>
      <c r="C1380" s="6">
        <v>25585</v>
      </c>
      <c r="D1380" s="6">
        <v>25702</v>
      </c>
      <c r="E1380" s="6">
        <v>26589</v>
      </c>
      <c r="F1380" s="6">
        <v>27153</v>
      </c>
      <c r="G1380" s="6">
        <v>28455</v>
      </c>
      <c r="H1380" s="6">
        <v>29276</v>
      </c>
      <c r="I1380" s="1" t="str">
        <f t="shared" si="42"/>
        <v xml:space="preserve"> Ohio</v>
      </c>
      <c r="J1380" s="1" t="str">
        <f t="shared" si="43"/>
        <v>Marysville city</v>
      </c>
      <c r="K1380" s="1">
        <f>IF(COUNTIF($I$5:I1380,I1380)=1,1,0)</f>
        <v>0</v>
      </c>
    </row>
    <row r="1381" spans="1:11" x14ac:dyDescent="0.2">
      <c r="A1381" s="9">
        <v>1377</v>
      </c>
      <c r="B1381" s="5" t="s">
        <v>1376</v>
      </c>
      <c r="C1381" s="6">
        <v>30013</v>
      </c>
      <c r="D1381" s="6">
        <v>29947</v>
      </c>
      <c r="E1381" s="6">
        <v>29621</v>
      </c>
      <c r="F1381" s="6">
        <v>29283</v>
      </c>
      <c r="G1381" s="6">
        <v>29136</v>
      </c>
      <c r="H1381" s="6">
        <v>29244</v>
      </c>
      <c r="I1381" s="1" t="str">
        <f t="shared" si="42"/>
        <v xml:space="preserve"> Missouri</v>
      </c>
      <c r="J1381" s="1" t="str">
        <f t="shared" si="43"/>
        <v>Raytown city</v>
      </c>
      <c r="K1381" s="1">
        <f>IF(COUNTIF($I$5:I1381,I1381)=1,1,0)</f>
        <v>0</v>
      </c>
    </row>
    <row r="1382" spans="1:11" x14ac:dyDescent="0.2">
      <c r="A1382" s="9">
        <v>1378</v>
      </c>
      <c r="B1382" s="5" t="s">
        <v>1377</v>
      </c>
      <c r="C1382" s="6">
        <v>28627</v>
      </c>
      <c r="D1382" s="6">
        <v>26788</v>
      </c>
      <c r="E1382" s="6">
        <v>28604</v>
      </c>
      <c r="F1382" s="6">
        <v>28816</v>
      </c>
      <c r="G1382" s="6">
        <v>28951</v>
      </c>
      <c r="H1382" s="6">
        <v>29167</v>
      </c>
      <c r="I1382" s="1" t="str">
        <f t="shared" si="42"/>
        <v xml:space="preserve"> Massachusetts</v>
      </c>
      <c r="J1382" s="1" t="str">
        <f t="shared" si="43"/>
        <v>Bridgewater Town city</v>
      </c>
      <c r="K1382" s="1">
        <f>IF(COUNTIF($I$5:I1382,I1382)=1,1,0)</f>
        <v>0</v>
      </c>
    </row>
    <row r="1383" spans="1:11" x14ac:dyDescent="0.2">
      <c r="A1383" s="9">
        <v>1379</v>
      </c>
      <c r="B1383" s="5" t="s">
        <v>1378</v>
      </c>
      <c r="C1383" s="6">
        <v>29483</v>
      </c>
      <c r="D1383" s="6">
        <v>29504</v>
      </c>
      <c r="E1383" s="6">
        <v>29233</v>
      </c>
      <c r="F1383" s="6">
        <v>29154</v>
      </c>
      <c r="G1383" s="6">
        <v>29072</v>
      </c>
      <c r="H1383" s="6">
        <v>29129</v>
      </c>
      <c r="I1383" s="1" t="str">
        <f t="shared" si="42"/>
        <v xml:space="preserve"> Arkansas</v>
      </c>
      <c r="J1383" s="1" t="str">
        <f t="shared" si="43"/>
        <v>Jacksonville city</v>
      </c>
      <c r="K1383" s="1">
        <f>IF(COUNTIF($I$5:I1383,I1383)=1,1,0)</f>
        <v>0</v>
      </c>
    </row>
    <row r="1384" spans="1:11" x14ac:dyDescent="0.2">
      <c r="A1384" s="9">
        <v>1380</v>
      </c>
      <c r="B1384" s="5" t="s">
        <v>1379</v>
      </c>
      <c r="C1384" s="6">
        <v>24080</v>
      </c>
      <c r="D1384" s="6">
        <v>24515</v>
      </c>
      <c r="E1384" s="6">
        <v>26645</v>
      </c>
      <c r="F1384" s="6">
        <v>27328</v>
      </c>
      <c r="G1384" s="6">
        <v>28153</v>
      </c>
      <c r="H1384" s="6">
        <v>29127</v>
      </c>
      <c r="I1384" s="1" t="str">
        <f t="shared" si="42"/>
        <v xml:space="preserve"> Idaho</v>
      </c>
      <c r="J1384" s="1" t="str">
        <f t="shared" si="43"/>
        <v>Kuna city</v>
      </c>
      <c r="K1384" s="1">
        <f>IF(COUNTIF($I$5:I1384,I1384)=1,1,0)</f>
        <v>0</v>
      </c>
    </row>
    <row r="1385" spans="1:11" x14ac:dyDescent="0.2">
      <c r="A1385" s="9">
        <v>1381</v>
      </c>
      <c r="B1385" s="5" t="s">
        <v>1380</v>
      </c>
      <c r="C1385" s="6">
        <v>30015</v>
      </c>
      <c r="D1385" s="6">
        <v>29902</v>
      </c>
      <c r="E1385" s="6">
        <v>29551</v>
      </c>
      <c r="F1385" s="6">
        <v>29257</v>
      </c>
      <c r="G1385" s="6">
        <v>29070</v>
      </c>
      <c r="H1385" s="6">
        <v>29081</v>
      </c>
      <c r="I1385" s="1" t="str">
        <f t="shared" si="42"/>
        <v xml:space="preserve"> Michigan</v>
      </c>
      <c r="J1385" s="1" t="str">
        <f t="shared" si="43"/>
        <v>Southgate city</v>
      </c>
      <c r="K1385" s="1">
        <f>IF(COUNTIF($I$5:I1385,I1385)=1,1,0)</f>
        <v>0</v>
      </c>
    </row>
    <row r="1386" spans="1:11" x14ac:dyDescent="0.2">
      <c r="A1386" s="9">
        <v>1382</v>
      </c>
      <c r="B1386" s="5" t="s">
        <v>1381</v>
      </c>
      <c r="C1386" s="6">
        <v>28832</v>
      </c>
      <c r="D1386" s="6">
        <v>28767</v>
      </c>
      <c r="E1386" s="6">
        <v>28657</v>
      </c>
      <c r="F1386" s="6">
        <v>28521</v>
      </c>
      <c r="G1386" s="6">
        <v>28929</v>
      </c>
      <c r="H1386" s="6">
        <v>29028</v>
      </c>
      <c r="I1386" s="1" t="str">
        <f t="shared" si="42"/>
        <v xml:space="preserve"> Massachusetts</v>
      </c>
      <c r="J1386" s="1" t="str">
        <f t="shared" si="43"/>
        <v>West Springfield Town city</v>
      </c>
      <c r="K1386" s="1">
        <f>IF(COUNTIF($I$5:I1386,I1386)=1,1,0)</f>
        <v>0</v>
      </c>
    </row>
    <row r="1387" spans="1:11" x14ac:dyDescent="0.2">
      <c r="A1387" s="9">
        <v>1383</v>
      </c>
      <c r="B1387" s="5" t="s">
        <v>1382</v>
      </c>
      <c r="C1387" s="6">
        <v>30226</v>
      </c>
      <c r="D1387" s="6">
        <v>30196</v>
      </c>
      <c r="E1387" s="6">
        <v>29885</v>
      </c>
      <c r="F1387" s="6">
        <v>29666</v>
      </c>
      <c r="G1387" s="6">
        <v>29273</v>
      </c>
      <c r="H1387" s="6">
        <v>29015</v>
      </c>
      <c r="I1387" s="1" t="str">
        <f t="shared" si="42"/>
        <v xml:space="preserve"> California</v>
      </c>
      <c r="J1387" s="1" t="str">
        <f t="shared" si="43"/>
        <v>Monterey city</v>
      </c>
      <c r="K1387" s="1">
        <f>IF(COUNTIF($I$5:I1387,I1387)=1,1,0)</f>
        <v>0</v>
      </c>
    </row>
    <row r="1388" spans="1:11" x14ac:dyDescent="0.2">
      <c r="A1388" s="9">
        <v>1384</v>
      </c>
      <c r="B1388" s="5" t="s">
        <v>1383</v>
      </c>
      <c r="C1388" s="6">
        <v>29791</v>
      </c>
      <c r="D1388" s="6">
        <v>29729</v>
      </c>
      <c r="E1388" s="6">
        <v>29414</v>
      </c>
      <c r="F1388" s="6">
        <v>29143</v>
      </c>
      <c r="G1388" s="6">
        <v>29032</v>
      </c>
      <c r="H1388" s="6">
        <v>29014</v>
      </c>
      <c r="I1388" s="1" t="str">
        <f t="shared" si="42"/>
        <v xml:space="preserve"> Ohio</v>
      </c>
      <c r="J1388" s="1" t="str">
        <f t="shared" si="43"/>
        <v>Garfield Heights city</v>
      </c>
      <c r="K1388" s="1">
        <f>IF(COUNTIF($I$5:I1388,I1388)=1,1,0)</f>
        <v>0</v>
      </c>
    </row>
    <row r="1389" spans="1:11" x14ac:dyDescent="0.2">
      <c r="A1389" s="9">
        <v>1385</v>
      </c>
      <c r="B1389" s="5" t="s">
        <v>1384</v>
      </c>
      <c r="C1389" s="6">
        <v>27636</v>
      </c>
      <c r="D1389" s="6">
        <v>27813</v>
      </c>
      <c r="E1389" s="6">
        <v>28213</v>
      </c>
      <c r="F1389" s="6">
        <v>28378</v>
      </c>
      <c r="G1389" s="6">
        <v>28610</v>
      </c>
      <c r="H1389" s="6">
        <v>28999</v>
      </c>
      <c r="I1389" s="1" t="str">
        <f t="shared" si="42"/>
        <v xml:space="preserve"> Minnesota</v>
      </c>
      <c r="J1389" s="1" t="str">
        <f t="shared" si="43"/>
        <v>Ramsey city</v>
      </c>
      <c r="K1389" s="1">
        <f>IF(COUNTIF($I$5:I1389,I1389)=1,1,0)</f>
        <v>0</v>
      </c>
    </row>
    <row r="1390" spans="1:11" x14ac:dyDescent="0.2">
      <c r="A1390" s="9">
        <v>1386</v>
      </c>
      <c r="B1390" s="5" t="s">
        <v>1385</v>
      </c>
      <c r="C1390" s="6">
        <v>23799</v>
      </c>
      <c r="D1390" s="6">
        <v>24098</v>
      </c>
      <c r="E1390" s="6">
        <v>25741</v>
      </c>
      <c r="F1390" s="6">
        <v>26483</v>
      </c>
      <c r="G1390" s="6">
        <v>28495</v>
      </c>
      <c r="H1390" s="6">
        <v>28969</v>
      </c>
      <c r="I1390" s="1" t="str">
        <f t="shared" si="42"/>
        <v xml:space="preserve"> Oregon</v>
      </c>
      <c r="J1390" s="1" t="str">
        <f t="shared" si="43"/>
        <v>Happy Valley city</v>
      </c>
      <c r="K1390" s="1">
        <f>IF(COUNTIF($I$5:I1390,I1390)=1,1,0)</f>
        <v>0</v>
      </c>
    </row>
    <row r="1391" spans="1:11" x14ac:dyDescent="0.2">
      <c r="A1391" s="9">
        <v>1387</v>
      </c>
      <c r="B1391" s="5" t="s">
        <v>1386</v>
      </c>
      <c r="C1391" s="6">
        <v>28340</v>
      </c>
      <c r="D1391" s="6">
        <v>28311</v>
      </c>
      <c r="E1391" s="6">
        <v>28252</v>
      </c>
      <c r="F1391" s="6">
        <v>28316</v>
      </c>
      <c r="G1391" s="6">
        <v>28541</v>
      </c>
      <c r="H1391" s="6">
        <v>28921</v>
      </c>
      <c r="I1391" s="1" t="str">
        <f t="shared" si="42"/>
        <v xml:space="preserve"> New Jersey</v>
      </c>
      <c r="J1391" s="1" t="str">
        <f t="shared" si="43"/>
        <v>Bergenfield borough</v>
      </c>
      <c r="K1391" s="1">
        <f>IF(COUNTIF($I$5:I1391,I1391)=1,1,0)</f>
        <v>0</v>
      </c>
    </row>
    <row r="1392" spans="1:11" x14ac:dyDescent="0.2">
      <c r="A1392" s="9">
        <v>1388</v>
      </c>
      <c r="B1392" s="5" t="s">
        <v>1387</v>
      </c>
      <c r="C1392" s="6">
        <v>29391</v>
      </c>
      <c r="D1392" s="6">
        <v>29380</v>
      </c>
      <c r="E1392" s="6">
        <v>29218</v>
      </c>
      <c r="F1392" s="6">
        <v>29254</v>
      </c>
      <c r="G1392" s="6">
        <v>29139</v>
      </c>
      <c r="H1392" s="6">
        <v>28897</v>
      </c>
      <c r="I1392" s="1" t="str">
        <f t="shared" si="42"/>
        <v xml:space="preserve"> Arkansas</v>
      </c>
      <c r="J1392" s="1" t="str">
        <f t="shared" si="43"/>
        <v>Texarkana city</v>
      </c>
      <c r="K1392" s="1">
        <f>IF(COUNTIF($I$5:I1392,I1392)=1,1,0)</f>
        <v>0</v>
      </c>
    </row>
    <row r="1393" spans="1:11" x14ac:dyDescent="0.2">
      <c r="A1393" s="9">
        <v>1389</v>
      </c>
      <c r="B1393" s="5" t="s">
        <v>1388</v>
      </c>
      <c r="C1393" s="6">
        <v>28997</v>
      </c>
      <c r="D1393" s="6">
        <v>28941</v>
      </c>
      <c r="E1393" s="6">
        <v>28724</v>
      </c>
      <c r="F1393" s="6">
        <v>28567</v>
      </c>
      <c r="G1393" s="6">
        <v>28634</v>
      </c>
      <c r="H1393" s="6">
        <v>28872</v>
      </c>
      <c r="I1393" s="1" t="str">
        <f t="shared" si="42"/>
        <v xml:space="preserve"> Illinois</v>
      </c>
      <c r="J1393" s="1" t="str">
        <f t="shared" si="43"/>
        <v>Glen Ellyn village</v>
      </c>
      <c r="K1393" s="1">
        <f>IF(COUNTIF($I$5:I1393,I1393)=1,1,0)</f>
        <v>0</v>
      </c>
    </row>
    <row r="1394" spans="1:11" x14ac:dyDescent="0.2">
      <c r="A1394" s="9">
        <v>1390</v>
      </c>
      <c r="B1394" s="5" t="s">
        <v>1389</v>
      </c>
      <c r="C1394" s="6">
        <v>29749</v>
      </c>
      <c r="D1394" s="6">
        <v>29673</v>
      </c>
      <c r="E1394" s="6">
        <v>29468</v>
      </c>
      <c r="F1394" s="6">
        <v>29205</v>
      </c>
      <c r="G1394" s="6">
        <v>28991</v>
      </c>
      <c r="H1394" s="6">
        <v>28834</v>
      </c>
      <c r="I1394" s="1" t="str">
        <f t="shared" si="42"/>
        <v xml:space="preserve"> West Virginia</v>
      </c>
      <c r="J1394" s="1" t="str">
        <f t="shared" si="43"/>
        <v>Parkersburg city</v>
      </c>
      <c r="K1394" s="1">
        <f>IF(COUNTIF($I$5:I1394,I1394)=1,1,0)</f>
        <v>0</v>
      </c>
    </row>
    <row r="1395" spans="1:11" x14ac:dyDescent="0.2">
      <c r="A1395" s="9">
        <v>1391</v>
      </c>
      <c r="B1395" s="5" t="s">
        <v>1390</v>
      </c>
      <c r="C1395" s="6">
        <v>27323</v>
      </c>
      <c r="D1395" s="6">
        <v>27349</v>
      </c>
      <c r="E1395" s="6">
        <v>27611</v>
      </c>
      <c r="F1395" s="6">
        <v>28262</v>
      </c>
      <c r="G1395" s="6">
        <v>28302</v>
      </c>
      <c r="H1395" s="6">
        <v>28825</v>
      </c>
      <c r="I1395" s="1" t="str">
        <f t="shared" si="42"/>
        <v xml:space="preserve"> Illinois</v>
      </c>
      <c r="J1395" s="1" t="str">
        <f t="shared" si="43"/>
        <v>McHenry city</v>
      </c>
      <c r="K1395" s="1">
        <f>IF(COUNTIF($I$5:I1395,I1395)=1,1,0)</f>
        <v>0</v>
      </c>
    </row>
    <row r="1396" spans="1:11" x14ac:dyDescent="0.2">
      <c r="A1396" s="9">
        <v>1391</v>
      </c>
      <c r="B1396" s="5" t="s">
        <v>1391</v>
      </c>
      <c r="C1396" s="6">
        <v>26449</v>
      </c>
      <c r="D1396" s="6">
        <v>26532</v>
      </c>
      <c r="E1396" s="6">
        <v>26680</v>
      </c>
      <c r="F1396" s="6">
        <v>27499</v>
      </c>
      <c r="G1396" s="6">
        <v>28104</v>
      </c>
      <c r="H1396" s="6">
        <v>28825</v>
      </c>
      <c r="I1396" s="1" t="str">
        <f t="shared" si="42"/>
        <v xml:space="preserve"> North Carolina</v>
      </c>
      <c r="J1396" s="1" t="str">
        <f t="shared" si="43"/>
        <v>Mint Hill town</v>
      </c>
      <c r="K1396" s="1">
        <f>IF(COUNTIF($I$5:I1396,I1396)=1,1,0)</f>
        <v>0</v>
      </c>
    </row>
    <row r="1397" spans="1:11" x14ac:dyDescent="0.2">
      <c r="A1397" s="9">
        <v>1393</v>
      </c>
      <c r="B1397" s="5" t="s">
        <v>1392</v>
      </c>
      <c r="C1397" s="6">
        <v>29169</v>
      </c>
      <c r="D1397" s="6">
        <v>29318</v>
      </c>
      <c r="E1397" s="6">
        <v>27361</v>
      </c>
      <c r="F1397" s="6">
        <v>26952</v>
      </c>
      <c r="G1397" s="6">
        <v>27831</v>
      </c>
      <c r="H1397" s="6">
        <v>28821</v>
      </c>
      <c r="I1397" s="1" t="str">
        <f t="shared" si="42"/>
        <v xml:space="preserve"> North Dakota</v>
      </c>
      <c r="J1397" s="1" t="str">
        <f t="shared" si="43"/>
        <v>Williston city</v>
      </c>
      <c r="K1397" s="1">
        <f>IF(COUNTIF($I$5:I1397,I1397)=1,1,0)</f>
        <v>0</v>
      </c>
    </row>
    <row r="1398" spans="1:11" x14ac:dyDescent="0.2">
      <c r="A1398" s="9">
        <v>1394</v>
      </c>
      <c r="B1398" s="5" t="s">
        <v>1393</v>
      </c>
      <c r="C1398" s="6">
        <v>28152</v>
      </c>
      <c r="D1398" s="6">
        <v>28154</v>
      </c>
      <c r="E1398" s="6">
        <v>28119</v>
      </c>
      <c r="F1398" s="6">
        <v>28224</v>
      </c>
      <c r="G1398" s="6">
        <v>28463</v>
      </c>
      <c r="H1398" s="6">
        <v>28768</v>
      </c>
      <c r="I1398" s="1" t="str">
        <f t="shared" si="42"/>
        <v xml:space="preserve"> Texas</v>
      </c>
      <c r="J1398" s="1" t="str">
        <f t="shared" si="43"/>
        <v>Eagle Pass city</v>
      </c>
      <c r="K1398" s="1">
        <f>IF(COUNTIF($I$5:I1398,I1398)=1,1,0)</f>
        <v>0</v>
      </c>
    </row>
    <row r="1399" spans="1:11" x14ac:dyDescent="0.2">
      <c r="A1399" s="9">
        <v>1395</v>
      </c>
      <c r="B1399" s="5" t="s">
        <v>1394</v>
      </c>
      <c r="C1399" s="6">
        <v>26521</v>
      </c>
      <c r="D1399" s="6">
        <v>26579</v>
      </c>
      <c r="E1399" s="6">
        <v>26893</v>
      </c>
      <c r="F1399" s="6">
        <v>27856</v>
      </c>
      <c r="G1399" s="6">
        <v>28146</v>
      </c>
      <c r="H1399" s="6">
        <v>28760</v>
      </c>
      <c r="I1399" s="1" t="str">
        <f t="shared" si="42"/>
        <v xml:space="preserve"> North Carolina</v>
      </c>
      <c r="J1399" s="1" t="str">
        <f t="shared" si="43"/>
        <v>Kernersville town</v>
      </c>
      <c r="K1399" s="1">
        <f>IF(COUNTIF($I$5:I1399,I1399)=1,1,0)</f>
        <v>0</v>
      </c>
    </row>
    <row r="1400" spans="1:11" x14ac:dyDescent="0.2">
      <c r="A1400" s="9">
        <v>1396</v>
      </c>
      <c r="B1400" s="5" t="s">
        <v>1395</v>
      </c>
      <c r="C1400" s="6">
        <v>28692</v>
      </c>
      <c r="D1400" s="6">
        <v>28627</v>
      </c>
      <c r="E1400" s="6">
        <v>28447</v>
      </c>
      <c r="F1400" s="6">
        <v>28362</v>
      </c>
      <c r="G1400" s="6">
        <v>28454</v>
      </c>
      <c r="H1400" s="6">
        <v>28749</v>
      </c>
      <c r="I1400" s="1" t="str">
        <f t="shared" si="42"/>
        <v xml:space="preserve"> Massachusetts</v>
      </c>
      <c r="J1400" s="1" t="str">
        <f t="shared" si="43"/>
        <v>Agawam Town city</v>
      </c>
      <c r="K1400" s="1">
        <f>IF(COUNTIF($I$5:I1400,I1400)=1,1,0)</f>
        <v>0</v>
      </c>
    </row>
    <row r="1401" spans="1:11" x14ac:dyDescent="0.2">
      <c r="A1401" s="9">
        <v>1397</v>
      </c>
      <c r="B1401" s="5" t="s">
        <v>1396</v>
      </c>
      <c r="C1401" s="6">
        <v>28511</v>
      </c>
      <c r="D1401" s="6">
        <v>28551</v>
      </c>
      <c r="E1401" s="6">
        <v>28715</v>
      </c>
      <c r="F1401" s="6">
        <v>28593</v>
      </c>
      <c r="G1401" s="6">
        <v>28573</v>
      </c>
      <c r="H1401" s="6">
        <v>28741</v>
      </c>
      <c r="I1401" s="1" t="str">
        <f t="shared" si="42"/>
        <v xml:space="preserve"> New York</v>
      </c>
      <c r="J1401" s="1" t="str">
        <f t="shared" si="43"/>
        <v>Saratoga Springs city</v>
      </c>
      <c r="K1401" s="1">
        <f>IF(COUNTIF($I$5:I1401,I1401)=1,1,0)</f>
        <v>0</v>
      </c>
    </row>
    <row r="1402" spans="1:11" x14ac:dyDescent="0.2">
      <c r="A1402" s="9">
        <v>1398</v>
      </c>
      <c r="B1402" s="5" t="s">
        <v>1397</v>
      </c>
      <c r="C1402" s="6">
        <v>28984</v>
      </c>
      <c r="D1402" s="6">
        <v>28927</v>
      </c>
      <c r="E1402" s="6">
        <v>28974</v>
      </c>
      <c r="F1402" s="6">
        <v>28711</v>
      </c>
      <c r="G1402" s="6">
        <v>28709</v>
      </c>
      <c r="H1402" s="6">
        <v>28706</v>
      </c>
      <c r="I1402" s="1" t="str">
        <f t="shared" si="42"/>
        <v xml:space="preserve"> Illinois</v>
      </c>
      <c r="J1402" s="1" t="str">
        <f t="shared" si="43"/>
        <v>Lake in the Hills village</v>
      </c>
      <c r="K1402" s="1">
        <f>IF(COUNTIF($I$5:I1402,I1402)=1,1,0)</f>
        <v>0</v>
      </c>
    </row>
    <row r="1403" spans="1:11" x14ac:dyDescent="0.2">
      <c r="A1403" s="9">
        <v>1399</v>
      </c>
      <c r="B1403" s="5" t="s">
        <v>1398</v>
      </c>
      <c r="C1403" s="6">
        <v>29448</v>
      </c>
      <c r="D1403" s="6">
        <v>29382</v>
      </c>
      <c r="E1403" s="6">
        <v>29058</v>
      </c>
      <c r="F1403" s="6">
        <v>28790</v>
      </c>
      <c r="G1403" s="6">
        <v>28679</v>
      </c>
      <c r="H1403" s="6">
        <v>28689</v>
      </c>
      <c r="I1403" s="1" t="str">
        <f t="shared" si="42"/>
        <v xml:space="preserve"> Ohio</v>
      </c>
      <c r="J1403" s="1" t="str">
        <f t="shared" si="43"/>
        <v>Shaker Heights city</v>
      </c>
      <c r="K1403" s="1">
        <f>IF(COUNTIF($I$5:I1403,I1403)=1,1,0)</f>
        <v>0</v>
      </c>
    </row>
    <row r="1404" spans="1:11" x14ac:dyDescent="0.2">
      <c r="A1404" s="9">
        <v>1400</v>
      </c>
      <c r="B1404" s="5" t="s">
        <v>1399</v>
      </c>
      <c r="C1404" s="6">
        <v>28466</v>
      </c>
      <c r="D1404" s="6">
        <v>28395</v>
      </c>
      <c r="E1404" s="6">
        <v>28256</v>
      </c>
      <c r="F1404" s="6">
        <v>28401</v>
      </c>
      <c r="G1404" s="6">
        <v>28385</v>
      </c>
      <c r="H1404" s="6">
        <v>28626</v>
      </c>
      <c r="I1404" s="1" t="str">
        <f t="shared" si="42"/>
        <v xml:space="preserve"> Michigan</v>
      </c>
      <c r="J1404" s="1" t="str">
        <f t="shared" si="43"/>
        <v>Madison Heights city</v>
      </c>
      <c r="K1404" s="1">
        <f>IF(COUNTIF($I$5:I1404,I1404)=1,1,0)</f>
        <v>0</v>
      </c>
    </row>
    <row r="1405" spans="1:11" x14ac:dyDescent="0.2">
      <c r="A1405" s="9">
        <v>1401</v>
      </c>
      <c r="B1405" s="5" t="s">
        <v>1400</v>
      </c>
      <c r="C1405" s="6">
        <v>28609</v>
      </c>
      <c r="D1405" s="6">
        <v>28612</v>
      </c>
      <c r="E1405" s="6">
        <v>28567</v>
      </c>
      <c r="F1405" s="6">
        <v>28403</v>
      </c>
      <c r="G1405" s="6">
        <v>28396</v>
      </c>
      <c r="H1405" s="6">
        <v>28610</v>
      </c>
      <c r="I1405" s="1" t="str">
        <f t="shared" si="42"/>
        <v xml:space="preserve"> Kentucky</v>
      </c>
      <c r="J1405" s="1" t="str">
        <f t="shared" si="43"/>
        <v>Frankfort city</v>
      </c>
      <c r="K1405" s="1">
        <f>IF(COUNTIF($I$5:I1405,I1405)=1,1,0)</f>
        <v>0</v>
      </c>
    </row>
    <row r="1406" spans="1:11" x14ac:dyDescent="0.2">
      <c r="A1406" s="9">
        <v>1402</v>
      </c>
      <c r="B1406" s="5" t="s">
        <v>1401</v>
      </c>
      <c r="C1406" s="6">
        <v>29461</v>
      </c>
      <c r="D1406" s="6">
        <v>29352</v>
      </c>
      <c r="E1406" s="6">
        <v>28843</v>
      </c>
      <c r="F1406" s="6">
        <v>28483</v>
      </c>
      <c r="G1406" s="6">
        <v>28406</v>
      </c>
      <c r="H1406" s="6">
        <v>28606</v>
      </c>
      <c r="I1406" s="1" t="str">
        <f t="shared" si="42"/>
        <v xml:space="preserve"> Illinois</v>
      </c>
      <c r="J1406" s="1" t="str">
        <f t="shared" si="43"/>
        <v>Burbank city</v>
      </c>
      <c r="K1406" s="1">
        <f>IF(COUNTIF($I$5:I1406,I1406)=1,1,0)</f>
        <v>0</v>
      </c>
    </row>
    <row r="1407" spans="1:11" x14ac:dyDescent="0.2">
      <c r="A1407" s="9">
        <v>1403</v>
      </c>
      <c r="B1407" s="5" t="s">
        <v>1402</v>
      </c>
      <c r="C1407" s="6">
        <v>25075</v>
      </c>
      <c r="D1407" s="6">
        <v>25135</v>
      </c>
      <c r="E1407" s="6">
        <v>25293</v>
      </c>
      <c r="F1407" s="6">
        <v>25532</v>
      </c>
      <c r="G1407" s="6">
        <v>26111</v>
      </c>
      <c r="H1407" s="6">
        <v>28598</v>
      </c>
      <c r="I1407" s="1" t="str">
        <f t="shared" si="42"/>
        <v xml:space="preserve"> Georgia</v>
      </c>
      <c r="J1407" s="1" t="str">
        <f t="shared" si="43"/>
        <v>Sugar Hill city</v>
      </c>
      <c r="K1407" s="1">
        <f>IF(COUNTIF($I$5:I1407,I1407)=1,1,0)</f>
        <v>0</v>
      </c>
    </row>
    <row r="1408" spans="1:11" x14ac:dyDescent="0.2">
      <c r="A1408" s="9">
        <v>1404</v>
      </c>
      <c r="B1408" s="5" t="s">
        <v>1403</v>
      </c>
      <c r="C1408" s="6">
        <v>28010</v>
      </c>
      <c r="D1408" s="6">
        <v>28086</v>
      </c>
      <c r="E1408" s="6">
        <v>28246</v>
      </c>
      <c r="F1408" s="6">
        <v>28317</v>
      </c>
      <c r="G1408" s="6">
        <v>28282</v>
      </c>
      <c r="H1408" s="6">
        <v>28553</v>
      </c>
      <c r="I1408" s="1" t="str">
        <f t="shared" si="42"/>
        <v xml:space="preserve"> Washington</v>
      </c>
      <c r="J1408" s="1" t="str">
        <f t="shared" si="43"/>
        <v>Maple Valley city</v>
      </c>
      <c r="K1408" s="1">
        <f>IF(COUNTIF($I$5:I1408,I1408)=1,1,0)</f>
        <v>0</v>
      </c>
    </row>
    <row r="1409" spans="1:11" x14ac:dyDescent="0.2">
      <c r="A1409" s="9">
        <v>1405</v>
      </c>
      <c r="B1409" s="5" t="s">
        <v>1404</v>
      </c>
      <c r="C1409" s="6">
        <v>26868</v>
      </c>
      <c r="D1409" s="6">
        <v>26881</v>
      </c>
      <c r="E1409" s="6">
        <v>26747</v>
      </c>
      <c r="F1409" s="6">
        <v>27066</v>
      </c>
      <c r="G1409" s="6">
        <v>27554</v>
      </c>
      <c r="H1409" s="6">
        <v>28548</v>
      </c>
      <c r="I1409" s="1" t="str">
        <f t="shared" si="42"/>
        <v xml:space="preserve"> Florida</v>
      </c>
      <c r="J1409" s="1" t="str">
        <f t="shared" si="43"/>
        <v>Palm Springs village</v>
      </c>
      <c r="K1409" s="1">
        <f>IF(COUNTIF($I$5:I1409,I1409)=1,1,0)</f>
        <v>0</v>
      </c>
    </row>
    <row r="1410" spans="1:11" x14ac:dyDescent="0.2">
      <c r="A1410" s="9">
        <v>1406</v>
      </c>
      <c r="B1410" s="5" t="s">
        <v>1405</v>
      </c>
      <c r="C1410" s="6">
        <v>27746</v>
      </c>
      <c r="D1410" s="6">
        <v>27769</v>
      </c>
      <c r="E1410" s="6">
        <v>28015</v>
      </c>
      <c r="F1410" s="6">
        <v>28152</v>
      </c>
      <c r="G1410" s="6">
        <v>28334</v>
      </c>
      <c r="H1410" s="6">
        <v>28495</v>
      </c>
      <c r="I1410" s="1" t="str">
        <f t="shared" si="42"/>
        <v xml:space="preserve"> Illinois</v>
      </c>
      <c r="J1410" s="1" t="str">
        <f t="shared" si="43"/>
        <v>Huntley village</v>
      </c>
      <c r="K1410" s="1">
        <f>IF(COUNTIF($I$5:I1410,I1410)=1,1,0)</f>
        <v>0</v>
      </c>
    </row>
    <row r="1411" spans="1:11" x14ac:dyDescent="0.2">
      <c r="A1411" s="9">
        <v>1407</v>
      </c>
      <c r="B1411" s="5" t="s">
        <v>1406</v>
      </c>
      <c r="C1411" s="6">
        <v>27206</v>
      </c>
      <c r="D1411" s="6">
        <v>27243</v>
      </c>
      <c r="E1411" s="6">
        <v>27505</v>
      </c>
      <c r="F1411" s="6">
        <v>27633</v>
      </c>
      <c r="G1411" s="6">
        <v>28130</v>
      </c>
      <c r="H1411" s="6">
        <v>28480</v>
      </c>
      <c r="I1411" s="1" t="str">
        <f t="shared" si="42"/>
        <v xml:space="preserve"> Illinois</v>
      </c>
      <c r="J1411" s="1" t="str">
        <f t="shared" si="43"/>
        <v>New Lenox village</v>
      </c>
      <c r="K1411" s="1">
        <f>IF(COUNTIF($I$5:I1411,I1411)=1,1,0)</f>
        <v>0</v>
      </c>
    </row>
    <row r="1412" spans="1:11" x14ac:dyDescent="0.2">
      <c r="A1412" s="9">
        <v>1408</v>
      </c>
      <c r="B1412" s="5" t="s">
        <v>1407</v>
      </c>
      <c r="C1412" s="6">
        <v>27061</v>
      </c>
      <c r="D1412" s="6">
        <v>27091</v>
      </c>
      <c r="E1412" s="6">
        <v>27312</v>
      </c>
      <c r="F1412" s="6">
        <v>27698</v>
      </c>
      <c r="G1412" s="6">
        <v>28151</v>
      </c>
      <c r="H1412" s="6">
        <v>28458</v>
      </c>
      <c r="I1412" s="1" t="str">
        <f t="shared" si="42"/>
        <v xml:space="preserve"> Mississippi</v>
      </c>
      <c r="J1412" s="1" t="str">
        <f t="shared" si="43"/>
        <v>Pearl city</v>
      </c>
      <c r="K1412" s="1">
        <f>IF(COUNTIF($I$5:I1412,I1412)=1,1,0)</f>
        <v>0</v>
      </c>
    </row>
    <row r="1413" spans="1:11" x14ac:dyDescent="0.2">
      <c r="A1413" s="9">
        <v>1409</v>
      </c>
      <c r="B1413" s="5" t="s">
        <v>1408</v>
      </c>
      <c r="C1413" s="6">
        <v>28688</v>
      </c>
      <c r="D1413" s="6">
        <v>28629</v>
      </c>
      <c r="E1413" s="6">
        <v>28737</v>
      </c>
      <c r="F1413" s="6">
        <v>28601</v>
      </c>
      <c r="G1413" s="6">
        <v>28470</v>
      </c>
      <c r="H1413" s="6">
        <v>28440</v>
      </c>
      <c r="I1413" s="1" t="str">
        <f t="shared" si="42"/>
        <v xml:space="preserve"> Louisiana</v>
      </c>
      <c r="J1413" s="1" t="str">
        <f t="shared" si="43"/>
        <v>Slidell city</v>
      </c>
      <c r="K1413" s="1">
        <f>IF(COUNTIF($I$5:I1413,I1413)=1,1,0)</f>
        <v>0</v>
      </c>
    </row>
    <row r="1414" spans="1:11" x14ac:dyDescent="0.2">
      <c r="A1414" s="9">
        <v>1410</v>
      </c>
      <c r="B1414" s="5" t="s">
        <v>1409</v>
      </c>
      <c r="C1414" s="6">
        <v>27960</v>
      </c>
      <c r="D1414" s="6">
        <v>27994</v>
      </c>
      <c r="E1414" s="6">
        <v>28223</v>
      </c>
      <c r="F1414" s="6">
        <v>28233</v>
      </c>
      <c r="G1414" s="6">
        <v>28212</v>
      </c>
      <c r="H1414" s="6">
        <v>28373</v>
      </c>
      <c r="I1414" s="1" t="str">
        <f t="shared" ref="I1414:I1477" si="44">_xlfn.TEXTAFTER(B1414,",")</f>
        <v xml:space="preserve"> California</v>
      </c>
      <c r="J1414" s="1" t="str">
        <f t="shared" ref="J1414:J1477" si="45">_xlfn.TEXTBEFORE(B1414,", ")</f>
        <v>Ridgecrest city</v>
      </c>
      <c r="K1414" s="1">
        <f>IF(COUNTIF($I$5:I1414,I1414)=1,1,0)</f>
        <v>0</v>
      </c>
    </row>
    <row r="1415" spans="1:11" x14ac:dyDescent="0.2">
      <c r="A1415" s="9">
        <v>1411</v>
      </c>
      <c r="B1415" s="5" t="s">
        <v>1410</v>
      </c>
      <c r="C1415" s="6">
        <v>28974</v>
      </c>
      <c r="D1415" s="6">
        <v>28935</v>
      </c>
      <c r="E1415" s="6">
        <v>28859</v>
      </c>
      <c r="F1415" s="6">
        <v>28602</v>
      </c>
      <c r="G1415" s="6">
        <v>28473</v>
      </c>
      <c r="H1415" s="6">
        <v>28342</v>
      </c>
      <c r="I1415" s="1" t="str">
        <f t="shared" si="44"/>
        <v xml:space="preserve"> Michigan</v>
      </c>
      <c r="J1415" s="1" t="str">
        <f t="shared" si="45"/>
        <v>Port Huron city</v>
      </c>
      <c r="K1415" s="1">
        <f>IF(COUNTIF($I$5:I1415,I1415)=1,1,0)</f>
        <v>0</v>
      </c>
    </row>
    <row r="1416" spans="1:11" x14ac:dyDescent="0.2">
      <c r="A1416" s="9">
        <v>1412</v>
      </c>
      <c r="B1416" s="5" t="s">
        <v>1411</v>
      </c>
      <c r="C1416" s="6">
        <v>26798</v>
      </c>
      <c r="D1416" s="6">
        <v>26797</v>
      </c>
      <c r="E1416" s="6">
        <v>26797</v>
      </c>
      <c r="F1416" s="6">
        <v>27334</v>
      </c>
      <c r="G1416" s="6">
        <v>27805</v>
      </c>
      <c r="H1416" s="6">
        <v>28306</v>
      </c>
      <c r="I1416" s="1" t="str">
        <f t="shared" si="44"/>
        <v xml:space="preserve"> Georgia</v>
      </c>
      <c r="J1416" s="1" t="str">
        <f t="shared" si="45"/>
        <v>Carrollton city</v>
      </c>
      <c r="K1416" s="1">
        <f>IF(COUNTIF($I$5:I1416,I1416)=1,1,0)</f>
        <v>0</v>
      </c>
    </row>
    <row r="1417" spans="1:11" x14ac:dyDescent="0.2">
      <c r="A1417" s="9">
        <v>1413</v>
      </c>
      <c r="B1417" s="5" t="s">
        <v>1412</v>
      </c>
      <c r="C1417" s="6">
        <v>28321</v>
      </c>
      <c r="D1417" s="6">
        <v>28253</v>
      </c>
      <c r="E1417" s="6">
        <v>28122</v>
      </c>
      <c r="F1417" s="6">
        <v>28030</v>
      </c>
      <c r="G1417" s="6">
        <v>28154</v>
      </c>
      <c r="H1417" s="6">
        <v>28216</v>
      </c>
      <c r="I1417" s="1" t="str">
        <f t="shared" si="44"/>
        <v xml:space="preserve"> Indiana</v>
      </c>
      <c r="J1417" s="1" t="str">
        <f t="shared" si="45"/>
        <v>Marion city</v>
      </c>
      <c r="K1417" s="1">
        <f>IF(COUNTIF($I$5:I1417,I1417)=1,1,0)</f>
        <v>0</v>
      </c>
    </row>
    <row r="1418" spans="1:11" x14ac:dyDescent="0.2">
      <c r="A1418" s="9">
        <v>1414</v>
      </c>
      <c r="B1418" s="5" t="s">
        <v>1413</v>
      </c>
      <c r="C1418" s="6">
        <v>27749</v>
      </c>
      <c r="D1418" s="6">
        <v>27757</v>
      </c>
      <c r="E1418" s="6">
        <v>27736</v>
      </c>
      <c r="F1418" s="6">
        <v>27919</v>
      </c>
      <c r="G1418" s="6">
        <v>28123</v>
      </c>
      <c r="H1418" s="6">
        <v>28210</v>
      </c>
      <c r="I1418" s="1" t="str">
        <f t="shared" si="44"/>
        <v xml:space="preserve"> Mississippi</v>
      </c>
      <c r="J1418" s="1" t="str">
        <f t="shared" si="45"/>
        <v>Madison city</v>
      </c>
      <c r="K1418" s="1">
        <f>IF(COUNTIF($I$5:I1418,I1418)=1,1,0)</f>
        <v>0</v>
      </c>
    </row>
    <row r="1419" spans="1:11" x14ac:dyDescent="0.2">
      <c r="A1419" s="9">
        <v>1415</v>
      </c>
      <c r="B1419" s="5" t="s">
        <v>1414</v>
      </c>
      <c r="C1419" s="6">
        <v>26858</v>
      </c>
      <c r="D1419" s="6">
        <v>27082</v>
      </c>
      <c r="E1419" s="6">
        <v>27410</v>
      </c>
      <c r="F1419" s="6">
        <v>27975</v>
      </c>
      <c r="G1419" s="6">
        <v>27988</v>
      </c>
      <c r="H1419" s="6">
        <v>28195</v>
      </c>
      <c r="I1419" s="1" t="str">
        <f t="shared" si="44"/>
        <v xml:space="preserve"> Georgia</v>
      </c>
      <c r="J1419" s="1" t="str">
        <f t="shared" si="45"/>
        <v>Union City city</v>
      </c>
      <c r="K1419" s="1">
        <f>IF(COUNTIF($I$5:I1419,I1419)=1,1,0)</f>
        <v>0</v>
      </c>
    </row>
    <row r="1420" spans="1:11" x14ac:dyDescent="0.2">
      <c r="A1420" s="9">
        <v>1416</v>
      </c>
      <c r="B1420" s="5" t="s">
        <v>1415</v>
      </c>
      <c r="C1420" s="6">
        <v>27135</v>
      </c>
      <c r="D1420" s="6">
        <v>27122</v>
      </c>
      <c r="E1420" s="6">
        <v>27342</v>
      </c>
      <c r="F1420" s="6">
        <v>27407</v>
      </c>
      <c r="G1420" s="6">
        <v>27815</v>
      </c>
      <c r="H1420" s="6">
        <v>28190</v>
      </c>
      <c r="I1420" s="1" t="str">
        <f t="shared" si="44"/>
        <v xml:space="preserve"> Nebraska</v>
      </c>
      <c r="J1420" s="1" t="str">
        <f t="shared" si="45"/>
        <v>Fremont city</v>
      </c>
      <c r="K1420" s="1">
        <f>IF(COUNTIF($I$5:I1420,I1420)=1,1,0)</f>
        <v>0</v>
      </c>
    </row>
    <row r="1421" spans="1:11" x14ac:dyDescent="0.2">
      <c r="A1421" s="9">
        <v>1417</v>
      </c>
      <c r="B1421" s="5" t="s">
        <v>1416</v>
      </c>
      <c r="C1421" s="6">
        <v>26521</v>
      </c>
      <c r="D1421" s="6">
        <v>26510</v>
      </c>
      <c r="E1421" s="6">
        <v>26679</v>
      </c>
      <c r="F1421" s="6">
        <v>27262</v>
      </c>
      <c r="G1421" s="6">
        <v>27818</v>
      </c>
      <c r="H1421" s="6">
        <v>28188</v>
      </c>
      <c r="I1421" s="1" t="str">
        <f t="shared" si="44"/>
        <v xml:space="preserve"> California</v>
      </c>
      <c r="J1421" s="1" t="str">
        <f t="shared" si="45"/>
        <v>Brawley city</v>
      </c>
      <c r="K1421" s="1">
        <f>IF(COUNTIF($I$5:I1421,I1421)=1,1,0)</f>
        <v>0</v>
      </c>
    </row>
    <row r="1422" spans="1:11" x14ac:dyDescent="0.2">
      <c r="A1422" s="9">
        <v>1418</v>
      </c>
      <c r="B1422" s="5" t="s">
        <v>1417</v>
      </c>
      <c r="C1422" s="6">
        <v>27725</v>
      </c>
      <c r="D1422" s="6">
        <v>27755</v>
      </c>
      <c r="E1422" s="6">
        <v>27769</v>
      </c>
      <c r="F1422" s="6">
        <v>27890</v>
      </c>
      <c r="G1422" s="6">
        <v>28154</v>
      </c>
      <c r="H1422" s="6">
        <v>28184</v>
      </c>
      <c r="I1422" s="1" t="str">
        <f t="shared" si="44"/>
        <v xml:space="preserve"> Wisconsin</v>
      </c>
      <c r="J1422" s="1" t="str">
        <f t="shared" si="45"/>
        <v>Mount Pleasant village</v>
      </c>
      <c r="K1422" s="1">
        <f>IF(COUNTIF($I$5:I1422,I1422)=1,1,0)</f>
        <v>0</v>
      </c>
    </row>
    <row r="1423" spans="1:11" x14ac:dyDescent="0.2">
      <c r="A1423" s="9">
        <v>1419</v>
      </c>
      <c r="B1423" s="5" t="s">
        <v>1418</v>
      </c>
      <c r="C1423" s="6">
        <v>28864</v>
      </c>
      <c r="D1423" s="6">
        <v>28775</v>
      </c>
      <c r="E1423" s="6">
        <v>28834</v>
      </c>
      <c r="F1423" s="6">
        <v>28504</v>
      </c>
      <c r="G1423" s="6">
        <v>28260</v>
      </c>
      <c r="H1423" s="6">
        <v>28181</v>
      </c>
      <c r="I1423" s="1" t="str">
        <f t="shared" si="44"/>
        <v xml:space="preserve"> New York</v>
      </c>
      <c r="J1423" s="1" t="str">
        <f t="shared" si="45"/>
        <v>Newburgh city</v>
      </c>
      <c r="K1423" s="1">
        <f>IF(COUNTIF($I$5:I1423,I1423)=1,1,0)</f>
        <v>0</v>
      </c>
    </row>
    <row r="1424" spans="1:11" x14ac:dyDescent="0.2">
      <c r="A1424" s="9">
        <v>1420</v>
      </c>
      <c r="B1424" s="5" t="s">
        <v>1419</v>
      </c>
      <c r="C1424" s="6">
        <v>28182</v>
      </c>
      <c r="D1424" s="6">
        <v>28148</v>
      </c>
      <c r="E1424" s="6">
        <v>27900</v>
      </c>
      <c r="F1424" s="6">
        <v>27739</v>
      </c>
      <c r="G1424" s="6">
        <v>27926</v>
      </c>
      <c r="H1424" s="6">
        <v>28158</v>
      </c>
      <c r="I1424" s="1" t="str">
        <f t="shared" si="44"/>
        <v xml:space="preserve"> Texas</v>
      </c>
      <c r="J1424" s="1" t="str">
        <f t="shared" si="45"/>
        <v>Lake Jackson city</v>
      </c>
      <c r="K1424" s="1">
        <f>IF(COUNTIF($I$5:I1424,I1424)=1,1,0)</f>
        <v>0</v>
      </c>
    </row>
    <row r="1425" spans="1:11" x14ac:dyDescent="0.2">
      <c r="A1425" s="9">
        <v>1421</v>
      </c>
      <c r="B1425" s="5" t="s">
        <v>1420</v>
      </c>
      <c r="C1425" s="6">
        <v>29079</v>
      </c>
      <c r="D1425" s="6">
        <v>28964</v>
      </c>
      <c r="E1425" s="6">
        <v>28423</v>
      </c>
      <c r="F1425" s="6">
        <v>28040</v>
      </c>
      <c r="G1425" s="6">
        <v>27938</v>
      </c>
      <c r="H1425" s="6">
        <v>28107</v>
      </c>
      <c r="I1425" s="1" t="str">
        <f t="shared" si="44"/>
        <v xml:space="preserve"> Illinois</v>
      </c>
      <c r="J1425" s="1" t="str">
        <f t="shared" si="45"/>
        <v>Lansing village</v>
      </c>
      <c r="K1425" s="1">
        <f>IF(COUNTIF($I$5:I1425,I1425)=1,1,0)</f>
        <v>0</v>
      </c>
    </row>
    <row r="1426" spans="1:11" x14ac:dyDescent="0.2">
      <c r="A1426" s="9">
        <v>1422</v>
      </c>
      <c r="B1426" s="5" t="s">
        <v>1421</v>
      </c>
      <c r="C1426" s="6">
        <v>28372</v>
      </c>
      <c r="D1426" s="6">
        <v>28231</v>
      </c>
      <c r="E1426" s="6">
        <v>28169</v>
      </c>
      <c r="F1426" s="6">
        <v>28068</v>
      </c>
      <c r="G1426" s="6">
        <v>27973</v>
      </c>
      <c r="H1426" s="6">
        <v>28088</v>
      </c>
      <c r="I1426" s="1" t="str">
        <f t="shared" si="44"/>
        <v xml:space="preserve"> New York</v>
      </c>
      <c r="J1426" s="1" t="str">
        <f t="shared" si="45"/>
        <v>Glen Cove city</v>
      </c>
      <c r="K1426" s="1">
        <f>IF(COUNTIF($I$5:I1426,I1426)=1,1,0)</f>
        <v>0</v>
      </c>
    </row>
    <row r="1427" spans="1:11" x14ac:dyDescent="0.2">
      <c r="A1427" s="9">
        <v>1423</v>
      </c>
      <c r="B1427" s="5" t="s">
        <v>1422</v>
      </c>
      <c r="C1427" s="6">
        <v>27371</v>
      </c>
      <c r="D1427" s="6">
        <v>26789</v>
      </c>
      <c r="E1427" s="6">
        <v>27330</v>
      </c>
      <c r="F1427" s="6">
        <v>27945</v>
      </c>
      <c r="G1427" s="6">
        <v>28036</v>
      </c>
      <c r="H1427" s="6">
        <v>28081</v>
      </c>
      <c r="I1427" s="1" t="str">
        <f t="shared" si="44"/>
        <v xml:space="preserve"> Connecticut</v>
      </c>
      <c r="J1427" s="1" t="str">
        <f t="shared" si="45"/>
        <v>New London city</v>
      </c>
      <c r="K1427" s="1">
        <f>IF(COUNTIF($I$5:I1427,I1427)=1,1,0)</f>
        <v>0</v>
      </c>
    </row>
    <row r="1428" spans="1:11" x14ac:dyDescent="0.2">
      <c r="A1428" s="9">
        <v>1424</v>
      </c>
      <c r="B1428" s="5" t="s">
        <v>1423</v>
      </c>
      <c r="C1428" s="6">
        <v>23385</v>
      </c>
      <c r="D1428" s="6">
        <v>23605</v>
      </c>
      <c r="E1428" s="6">
        <v>24748</v>
      </c>
      <c r="F1428" s="6">
        <v>26778</v>
      </c>
      <c r="G1428" s="6">
        <v>27605</v>
      </c>
      <c r="H1428" s="6">
        <v>28078</v>
      </c>
      <c r="I1428" s="1" t="str">
        <f t="shared" si="44"/>
        <v xml:space="preserve"> South Carolina</v>
      </c>
      <c r="J1428" s="1" t="str">
        <f t="shared" si="45"/>
        <v>Simpsonville city</v>
      </c>
      <c r="K1428" s="1">
        <f>IF(COUNTIF($I$5:I1428,I1428)=1,1,0)</f>
        <v>0</v>
      </c>
    </row>
    <row r="1429" spans="1:11" x14ac:dyDescent="0.2">
      <c r="A1429" s="9">
        <v>1425</v>
      </c>
      <c r="B1429" s="5" t="s">
        <v>1424</v>
      </c>
      <c r="C1429" s="6">
        <v>20622</v>
      </c>
      <c r="D1429" s="6">
        <v>20885</v>
      </c>
      <c r="E1429" s="6">
        <v>22300</v>
      </c>
      <c r="F1429" s="6">
        <v>23797</v>
      </c>
      <c r="G1429" s="6">
        <v>25031</v>
      </c>
      <c r="H1429" s="6">
        <v>28043</v>
      </c>
      <c r="I1429" s="1" t="str">
        <f t="shared" si="44"/>
        <v xml:space="preserve"> Alabama</v>
      </c>
      <c r="J1429" s="1" t="str">
        <f t="shared" si="45"/>
        <v>Foley city</v>
      </c>
      <c r="K1429" s="1">
        <f>IF(COUNTIF($I$5:I1429,I1429)=1,1,0)</f>
        <v>0</v>
      </c>
    </row>
    <row r="1430" spans="1:11" x14ac:dyDescent="0.2">
      <c r="A1430" s="9">
        <v>1426</v>
      </c>
      <c r="B1430" s="5" t="s">
        <v>1425</v>
      </c>
      <c r="C1430" s="6">
        <v>27947</v>
      </c>
      <c r="D1430" s="6">
        <v>27884</v>
      </c>
      <c r="E1430" s="6">
        <v>27599</v>
      </c>
      <c r="F1430" s="6">
        <v>27799</v>
      </c>
      <c r="G1430" s="6">
        <v>27580</v>
      </c>
      <c r="H1430" s="6">
        <v>28036</v>
      </c>
      <c r="I1430" s="1" t="str">
        <f t="shared" si="44"/>
        <v xml:space="preserve"> Oregon</v>
      </c>
      <c r="J1430" s="1" t="str">
        <f t="shared" si="45"/>
        <v>Tualatin city</v>
      </c>
      <c r="K1430" s="1">
        <f>IF(COUNTIF($I$5:I1430,I1430)=1,1,0)</f>
        <v>0</v>
      </c>
    </row>
    <row r="1431" spans="1:11" x14ac:dyDescent="0.2">
      <c r="A1431" s="9">
        <v>1427</v>
      </c>
      <c r="B1431" s="5" t="s">
        <v>1426</v>
      </c>
      <c r="C1431" s="6">
        <v>27613</v>
      </c>
      <c r="D1431" s="6">
        <v>27628</v>
      </c>
      <c r="E1431" s="6">
        <v>28141</v>
      </c>
      <c r="F1431" s="6">
        <v>28171</v>
      </c>
      <c r="G1431" s="6">
        <v>28056</v>
      </c>
      <c r="H1431" s="6">
        <v>28018</v>
      </c>
      <c r="I1431" s="1" t="str">
        <f t="shared" si="44"/>
        <v xml:space="preserve"> Minnesota</v>
      </c>
      <c r="J1431" s="1" t="str">
        <f t="shared" si="45"/>
        <v>Prior Lake city</v>
      </c>
      <c r="K1431" s="1">
        <f>IF(COUNTIF($I$5:I1431,I1431)=1,1,0)</f>
        <v>0</v>
      </c>
    </row>
    <row r="1432" spans="1:11" x14ac:dyDescent="0.2">
      <c r="A1432" s="9">
        <v>1428</v>
      </c>
      <c r="B1432" s="5" t="s">
        <v>1427</v>
      </c>
      <c r="C1432" s="6">
        <v>28151</v>
      </c>
      <c r="D1432" s="6">
        <v>28032</v>
      </c>
      <c r="E1432" s="6">
        <v>27851</v>
      </c>
      <c r="F1432" s="6">
        <v>27523</v>
      </c>
      <c r="G1432" s="6">
        <v>27749</v>
      </c>
      <c r="H1432" s="6">
        <v>27996</v>
      </c>
      <c r="I1432" s="1" t="str">
        <f t="shared" si="44"/>
        <v xml:space="preserve"> Kansas</v>
      </c>
      <c r="J1432" s="1" t="str">
        <f t="shared" si="45"/>
        <v>Garden City city</v>
      </c>
      <c r="K1432" s="1">
        <f>IF(COUNTIF($I$5:I1432,I1432)=1,1,0)</f>
        <v>0</v>
      </c>
    </row>
    <row r="1433" spans="1:11" x14ac:dyDescent="0.2">
      <c r="A1433" s="9">
        <v>1429</v>
      </c>
      <c r="B1433" s="5" t="s">
        <v>1428</v>
      </c>
      <c r="C1433" s="6">
        <v>29204</v>
      </c>
      <c r="D1433" s="6">
        <v>29127</v>
      </c>
      <c r="E1433" s="6">
        <v>28798</v>
      </c>
      <c r="F1433" s="6">
        <v>28372</v>
      </c>
      <c r="G1433" s="6">
        <v>28161</v>
      </c>
      <c r="H1433" s="6">
        <v>27981</v>
      </c>
      <c r="I1433" s="1" t="str">
        <f t="shared" si="44"/>
        <v xml:space="preserve"> Illinois</v>
      </c>
      <c r="J1433" s="1" t="str">
        <f t="shared" si="45"/>
        <v>Danville city</v>
      </c>
      <c r="K1433" s="1">
        <f>IF(COUNTIF($I$5:I1433,I1433)=1,1,0)</f>
        <v>0</v>
      </c>
    </row>
    <row r="1434" spans="1:11" x14ac:dyDescent="0.2">
      <c r="A1434" s="9">
        <v>1430</v>
      </c>
      <c r="B1434" s="5" t="s">
        <v>1429</v>
      </c>
      <c r="C1434" s="6">
        <v>28646</v>
      </c>
      <c r="D1434" s="6">
        <v>28653</v>
      </c>
      <c r="E1434" s="6">
        <v>28403</v>
      </c>
      <c r="F1434" s="6">
        <v>28279</v>
      </c>
      <c r="G1434" s="6">
        <v>28086</v>
      </c>
      <c r="H1434" s="6">
        <v>27966</v>
      </c>
      <c r="I1434" s="1" t="str">
        <f t="shared" si="44"/>
        <v xml:space="preserve"> Pennsylvania</v>
      </c>
      <c r="J1434" s="1" t="str">
        <f t="shared" si="45"/>
        <v>Monroeville municipality</v>
      </c>
      <c r="K1434" s="1">
        <f>IF(COUNTIF($I$5:I1434,I1434)=1,1,0)</f>
        <v>0</v>
      </c>
    </row>
    <row r="1435" spans="1:11" x14ac:dyDescent="0.2">
      <c r="A1435" s="9">
        <v>1431</v>
      </c>
      <c r="B1435" s="5" t="s">
        <v>1430</v>
      </c>
      <c r="C1435" s="6">
        <v>27195</v>
      </c>
      <c r="D1435" s="6">
        <v>27243</v>
      </c>
      <c r="E1435" s="6">
        <v>27377</v>
      </c>
      <c r="F1435" s="6">
        <v>27542</v>
      </c>
      <c r="G1435" s="6">
        <v>27754</v>
      </c>
      <c r="H1435" s="6">
        <v>27928</v>
      </c>
      <c r="I1435" s="1" t="str">
        <f t="shared" si="44"/>
        <v xml:space="preserve"> North Carolina</v>
      </c>
      <c r="J1435" s="1" t="str">
        <f t="shared" si="45"/>
        <v>Asheboro city</v>
      </c>
      <c r="K1435" s="1">
        <f>IF(COUNTIF($I$5:I1435,I1435)=1,1,0)</f>
        <v>0</v>
      </c>
    </row>
    <row r="1436" spans="1:11" x14ac:dyDescent="0.2">
      <c r="A1436" s="9">
        <v>1432</v>
      </c>
      <c r="B1436" s="5" t="s">
        <v>1431</v>
      </c>
      <c r="C1436" s="6">
        <v>26419</v>
      </c>
      <c r="D1436" s="6">
        <v>27406</v>
      </c>
      <c r="E1436" s="6">
        <v>28097</v>
      </c>
      <c r="F1436" s="6">
        <v>27901</v>
      </c>
      <c r="G1436" s="6">
        <v>27825</v>
      </c>
      <c r="H1436" s="6">
        <v>27919</v>
      </c>
      <c r="I1436" s="1" t="str">
        <f t="shared" si="44"/>
        <v xml:space="preserve"> Alabama</v>
      </c>
      <c r="J1436" s="1" t="str">
        <f t="shared" si="45"/>
        <v>Homewood city</v>
      </c>
      <c r="K1436" s="1">
        <f>IF(COUNTIF($I$5:I1436,I1436)=1,1,0)</f>
        <v>0</v>
      </c>
    </row>
    <row r="1437" spans="1:11" x14ac:dyDescent="0.2">
      <c r="A1437" s="9">
        <v>1432</v>
      </c>
      <c r="B1437" s="5" t="s">
        <v>1432</v>
      </c>
      <c r="C1437" s="6">
        <v>28495</v>
      </c>
      <c r="D1437" s="6">
        <v>28437</v>
      </c>
      <c r="E1437" s="6">
        <v>28313</v>
      </c>
      <c r="F1437" s="6">
        <v>28170</v>
      </c>
      <c r="G1437" s="6">
        <v>28046</v>
      </c>
      <c r="H1437" s="6">
        <v>27919</v>
      </c>
      <c r="I1437" s="1" t="str">
        <f t="shared" si="44"/>
        <v xml:space="preserve"> South Dakota</v>
      </c>
      <c r="J1437" s="1" t="str">
        <f t="shared" si="45"/>
        <v>Aberdeen city</v>
      </c>
      <c r="K1437" s="1">
        <f>IF(COUNTIF($I$5:I1437,I1437)=1,1,0)</f>
        <v>0</v>
      </c>
    </row>
    <row r="1438" spans="1:11" x14ac:dyDescent="0.2">
      <c r="A1438" s="9">
        <v>1434</v>
      </c>
      <c r="B1438" s="5" t="s">
        <v>1433</v>
      </c>
      <c r="C1438" s="6">
        <v>26697</v>
      </c>
      <c r="D1438" s="6">
        <v>26723</v>
      </c>
      <c r="E1438" s="6">
        <v>26674</v>
      </c>
      <c r="F1438" s="6">
        <v>26585</v>
      </c>
      <c r="G1438" s="6">
        <v>27041</v>
      </c>
      <c r="H1438" s="6">
        <v>27895</v>
      </c>
      <c r="I1438" s="1" t="str">
        <f t="shared" si="44"/>
        <v xml:space="preserve"> Oregon</v>
      </c>
      <c r="J1438" s="1" t="str">
        <f t="shared" si="45"/>
        <v>Wilsonville city</v>
      </c>
      <c r="K1438" s="1">
        <f>IF(COUNTIF($I$5:I1438,I1438)=1,1,0)</f>
        <v>0</v>
      </c>
    </row>
    <row r="1439" spans="1:11" x14ac:dyDescent="0.2">
      <c r="A1439" s="9">
        <v>1435</v>
      </c>
      <c r="B1439" s="5" t="s">
        <v>1434</v>
      </c>
      <c r="C1439" s="6">
        <v>27592</v>
      </c>
      <c r="D1439" s="6">
        <v>27578</v>
      </c>
      <c r="E1439" s="6">
        <v>27461</v>
      </c>
      <c r="F1439" s="6">
        <v>27491</v>
      </c>
      <c r="G1439" s="6">
        <v>27737</v>
      </c>
      <c r="H1439" s="6">
        <v>27886</v>
      </c>
      <c r="I1439" s="1" t="str">
        <f t="shared" si="44"/>
        <v xml:space="preserve"> Iowa</v>
      </c>
      <c r="J1439" s="1" t="str">
        <f t="shared" si="45"/>
        <v>Marshalltown city</v>
      </c>
      <c r="K1439" s="1">
        <f>IF(COUNTIF($I$5:I1439,I1439)=1,1,0)</f>
        <v>0</v>
      </c>
    </row>
    <row r="1440" spans="1:11" x14ac:dyDescent="0.2">
      <c r="A1440" s="9">
        <v>1436</v>
      </c>
      <c r="B1440" s="5" t="s">
        <v>1435</v>
      </c>
      <c r="C1440" s="6">
        <v>25946</v>
      </c>
      <c r="D1440" s="6">
        <v>26074</v>
      </c>
      <c r="E1440" s="6">
        <v>26633</v>
      </c>
      <c r="F1440" s="6">
        <v>27216</v>
      </c>
      <c r="G1440" s="6">
        <v>27693</v>
      </c>
      <c r="H1440" s="6">
        <v>27869</v>
      </c>
      <c r="I1440" s="1" t="str">
        <f t="shared" si="44"/>
        <v xml:space="preserve"> Oklahoma</v>
      </c>
      <c r="J1440" s="1" t="str">
        <f t="shared" si="45"/>
        <v>Jenks city</v>
      </c>
      <c r="K1440" s="1">
        <f>IF(COUNTIF($I$5:I1440,I1440)=1,1,0)</f>
        <v>0</v>
      </c>
    </row>
    <row r="1441" spans="1:11" x14ac:dyDescent="0.2">
      <c r="A1441" s="9">
        <v>1437</v>
      </c>
      <c r="B1441" s="5" t="s">
        <v>1436</v>
      </c>
      <c r="C1441" s="6">
        <v>27781</v>
      </c>
      <c r="D1441" s="6">
        <v>27752</v>
      </c>
      <c r="E1441" s="6">
        <v>27526</v>
      </c>
      <c r="F1441" s="6">
        <v>27575</v>
      </c>
      <c r="G1441" s="6">
        <v>27724</v>
      </c>
      <c r="H1441" s="6">
        <v>27867</v>
      </c>
      <c r="I1441" s="1" t="str">
        <f t="shared" si="44"/>
        <v xml:space="preserve"> California</v>
      </c>
      <c r="J1441" s="1" t="str">
        <f t="shared" si="45"/>
        <v>Lemon Grove city</v>
      </c>
      <c r="K1441" s="1">
        <f>IF(COUNTIF($I$5:I1441,I1441)=1,1,0)</f>
        <v>0</v>
      </c>
    </row>
    <row r="1442" spans="1:11" x14ac:dyDescent="0.2">
      <c r="A1442" s="9">
        <v>1437</v>
      </c>
      <c r="B1442" s="5" t="s">
        <v>1437</v>
      </c>
      <c r="C1442" s="6">
        <v>27133</v>
      </c>
      <c r="D1442" s="6">
        <v>27181</v>
      </c>
      <c r="E1442" s="6">
        <v>27545</v>
      </c>
      <c r="F1442" s="6">
        <v>27716</v>
      </c>
      <c r="G1442" s="6">
        <v>27828</v>
      </c>
      <c r="H1442" s="6">
        <v>27867</v>
      </c>
      <c r="I1442" s="1" t="str">
        <f t="shared" si="44"/>
        <v xml:space="preserve"> Tennessee</v>
      </c>
      <c r="J1442" s="1" t="str">
        <f t="shared" si="45"/>
        <v>Bristol city</v>
      </c>
      <c r="K1442" s="1">
        <f>IF(COUNTIF($I$5:I1442,I1442)=1,1,0)</f>
        <v>0</v>
      </c>
    </row>
    <row r="1443" spans="1:11" x14ac:dyDescent="0.2">
      <c r="A1443" s="9">
        <v>1439</v>
      </c>
      <c r="B1443" s="5" t="s">
        <v>1438</v>
      </c>
      <c r="C1443" s="6">
        <v>27495</v>
      </c>
      <c r="D1443" s="6">
        <v>27415</v>
      </c>
      <c r="E1443" s="6">
        <v>27371</v>
      </c>
      <c r="F1443" s="6">
        <v>27365</v>
      </c>
      <c r="G1443" s="6">
        <v>27549</v>
      </c>
      <c r="H1443" s="6">
        <v>27838</v>
      </c>
      <c r="I1443" s="1" t="str">
        <f t="shared" si="44"/>
        <v xml:space="preserve"> New Jersey</v>
      </c>
      <c r="J1443" s="1" t="str">
        <f t="shared" si="45"/>
        <v>Millville city</v>
      </c>
      <c r="K1443" s="1">
        <f>IF(COUNTIF($I$5:I1443,I1443)=1,1,0)</f>
        <v>0</v>
      </c>
    </row>
    <row r="1444" spans="1:11" x14ac:dyDescent="0.2">
      <c r="A1444" s="9">
        <v>1440</v>
      </c>
      <c r="B1444" s="5" t="s">
        <v>1439</v>
      </c>
      <c r="C1444" s="6">
        <v>26044</v>
      </c>
      <c r="D1444" s="6">
        <v>26143</v>
      </c>
      <c r="E1444" s="6">
        <v>26828</v>
      </c>
      <c r="F1444" s="6">
        <v>26765</v>
      </c>
      <c r="G1444" s="6">
        <v>27175</v>
      </c>
      <c r="H1444" s="6">
        <v>27826</v>
      </c>
      <c r="I1444" s="1" t="str">
        <f t="shared" si="44"/>
        <v xml:space="preserve"> Washington</v>
      </c>
      <c r="J1444" s="1" t="str">
        <f t="shared" si="45"/>
        <v>Tumwater city</v>
      </c>
      <c r="K1444" s="1">
        <f>IF(COUNTIF($I$5:I1444,I1444)=1,1,0)</f>
        <v>0</v>
      </c>
    </row>
    <row r="1445" spans="1:11" x14ac:dyDescent="0.2">
      <c r="A1445" s="9">
        <v>1441</v>
      </c>
      <c r="B1445" s="5" t="s">
        <v>1440</v>
      </c>
      <c r="C1445" s="6">
        <v>28115</v>
      </c>
      <c r="D1445" s="6">
        <v>28003</v>
      </c>
      <c r="E1445" s="6">
        <v>28088</v>
      </c>
      <c r="F1445" s="6">
        <v>27919</v>
      </c>
      <c r="G1445" s="6">
        <v>27754</v>
      </c>
      <c r="H1445" s="6">
        <v>27800</v>
      </c>
      <c r="I1445" s="1" t="str">
        <f t="shared" si="44"/>
        <v xml:space="preserve"> Virginia</v>
      </c>
      <c r="J1445" s="1" t="str">
        <f t="shared" si="45"/>
        <v>Winchester city</v>
      </c>
      <c r="K1445" s="1">
        <f>IF(COUNTIF($I$5:I1445,I1445)=1,1,0)</f>
        <v>0</v>
      </c>
    </row>
    <row r="1446" spans="1:11" x14ac:dyDescent="0.2">
      <c r="A1446" s="9">
        <v>1442</v>
      </c>
      <c r="B1446" s="5" t="s">
        <v>1441</v>
      </c>
      <c r="C1446" s="6">
        <v>28200</v>
      </c>
      <c r="D1446" s="6">
        <v>28136</v>
      </c>
      <c r="E1446" s="6">
        <v>27945</v>
      </c>
      <c r="F1446" s="6">
        <v>27673</v>
      </c>
      <c r="G1446" s="6">
        <v>27734</v>
      </c>
      <c r="H1446" s="6">
        <v>27750</v>
      </c>
      <c r="I1446" s="1" t="str">
        <f t="shared" si="44"/>
        <v xml:space="preserve"> Kentucky</v>
      </c>
      <c r="J1446" s="1" t="str">
        <f t="shared" si="45"/>
        <v>Henderson city</v>
      </c>
      <c r="K1446" s="1">
        <f>IF(COUNTIF($I$5:I1446,I1446)=1,1,0)</f>
        <v>0</v>
      </c>
    </row>
    <row r="1447" spans="1:11" x14ac:dyDescent="0.2">
      <c r="A1447" s="9">
        <v>1443</v>
      </c>
      <c r="B1447" s="5" t="s">
        <v>1442</v>
      </c>
      <c r="C1447" s="6">
        <v>21859</v>
      </c>
      <c r="D1447" s="6">
        <v>22419</v>
      </c>
      <c r="E1447" s="6">
        <v>23768</v>
      </c>
      <c r="F1447" s="6">
        <v>25351</v>
      </c>
      <c r="G1447" s="6">
        <v>26609</v>
      </c>
      <c r="H1447" s="6">
        <v>27741</v>
      </c>
      <c r="I1447" s="1" t="str">
        <f t="shared" si="44"/>
        <v xml:space="preserve"> Texas</v>
      </c>
      <c r="J1447" s="1" t="str">
        <f t="shared" si="45"/>
        <v>Katy city</v>
      </c>
      <c r="K1447" s="1">
        <f>IF(COUNTIF($I$5:I1447,I1447)=1,1,0)</f>
        <v>0</v>
      </c>
    </row>
    <row r="1448" spans="1:11" x14ac:dyDescent="0.2">
      <c r="A1448" s="9">
        <v>1444</v>
      </c>
      <c r="B1448" s="5" t="s">
        <v>1443</v>
      </c>
      <c r="C1448" s="6">
        <v>27275</v>
      </c>
      <c r="D1448" s="6">
        <v>27167</v>
      </c>
      <c r="E1448" s="6">
        <v>26722</v>
      </c>
      <c r="F1448" s="6">
        <v>26476</v>
      </c>
      <c r="G1448" s="6">
        <v>26930</v>
      </c>
      <c r="H1448" s="6">
        <v>27722</v>
      </c>
      <c r="I1448" s="1" t="str">
        <f t="shared" si="44"/>
        <v xml:space="preserve"> New Jersey</v>
      </c>
      <c r="J1448" s="1" t="str">
        <f t="shared" si="45"/>
        <v>Bridgeton city</v>
      </c>
      <c r="K1448" s="1">
        <f>IF(COUNTIF($I$5:I1448,I1448)=1,1,0)</f>
        <v>0</v>
      </c>
    </row>
    <row r="1449" spans="1:11" x14ac:dyDescent="0.2">
      <c r="A1449" s="9">
        <v>1445</v>
      </c>
      <c r="B1449" s="5" t="s">
        <v>1444</v>
      </c>
      <c r="C1449" s="6">
        <v>28207</v>
      </c>
      <c r="D1449" s="6">
        <v>28176</v>
      </c>
      <c r="E1449" s="6">
        <v>24779</v>
      </c>
      <c r="F1449" s="6">
        <v>27171</v>
      </c>
      <c r="G1449" s="6">
        <v>27659</v>
      </c>
      <c r="H1449" s="6">
        <v>27720</v>
      </c>
      <c r="I1449" s="1" t="str">
        <f t="shared" si="44"/>
        <v xml:space="preserve"> Ohio</v>
      </c>
      <c r="J1449" s="1" t="str">
        <f t="shared" si="45"/>
        <v>Kent city</v>
      </c>
      <c r="K1449" s="1">
        <f>IF(COUNTIF($I$5:I1449,I1449)=1,1,0)</f>
        <v>0</v>
      </c>
    </row>
    <row r="1450" spans="1:11" x14ac:dyDescent="0.2">
      <c r="A1450" s="9">
        <v>1446</v>
      </c>
      <c r="B1450" s="5" t="s">
        <v>1445</v>
      </c>
      <c r="C1450" s="6">
        <v>28704</v>
      </c>
      <c r="D1450" s="6">
        <v>28673</v>
      </c>
      <c r="E1450" s="6">
        <v>28461</v>
      </c>
      <c r="F1450" s="6">
        <v>28101</v>
      </c>
      <c r="G1450" s="6">
        <v>27956</v>
      </c>
      <c r="H1450" s="6">
        <v>27699</v>
      </c>
      <c r="I1450" s="1" t="str">
        <f t="shared" si="44"/>
        <v xml:space="preserve"> New York</v>
      </c>
      <c r="J1450" s="1" t="str">
        <f t="shared" si="45"/>
        <v>Jamestown city</v>
      </c>
      <c r="K1450" s="1">
        <f>IF(COUNTIF($I$5:I1450,I1450)=1,1,0)</f>
        <v>0</v>
      </c>
    </row>
    <row r="1451" spans="1:11" x14ac:dyDescent="0.2">
      <c r="A1451" s="9">
        <v>1447</v>
      </c>
      <c r="B1451" s="5" t="s">
        <v>1446</v>
      </c>
      <c r="C1451" s="6">
        <v>28300</v>
      </c>
      <c r="D1451" s="6">
        <v>28257</v>
      </c>
      <c r="E1451" s="6">
        <v>28059</v>
      </c>
      <c r="F1451" s="6">
        <v>27808</v>
      </c>
      <c r="G1451" s="6">
        <v>27676</v>
      </c>
      <c r="H1451" s="6">
        <v>27671</v>
      </c>
      <c r="I1451" s="1" t="str">
        <f t="shared" si="44"/>
        <v xml:space="preserve"> Missouri</v>
      </c>
      <c r="J1451" s="1" t="str">
        <f t="shared" si="45"/>
        <v>Maryland Heights city</v>
      </c>
      <c r="K1451" s="1">
        <f>IF(COUNTIF($I$5:I1451,I1451)=1,1,0)</f>
        <v>0</v>
      </c>
    </row>
    <row r="1452" spans="1:11" x14ac:dyDescent="0.2">
      <c r="A1452" s="9">
        <v>1448</v>
      </c>
      <c r="B1452" s="5" t="s">
        <v>1447</v>
      </c>
      <c r="C1452" s="6">
        <v>27797</v>
      </c>
      <c r="D1452" s="6">
        <v>27739</v>
      </c>
      <c r="E1452" s="6">
        <v>27705</v>
      </c>
      <c r="F1452" s="6">
        <v>27423</v>
      </c>
      <c r="G1452" s="6">
        <v>27576</v>
      </c>
      <c r="H1452" s="6">
        <v>27663</v>
      </c>
      <c r="I1452" s="1" t="str">
        <f t="shared" si="44"/>
        <v xml:space="preserve"> Kansas</v>
      </c>
      <c r="J1452" s="1" t="str">
        <f t="shared" si="45"/>
        <v>Dodge City city</v>
      </c>
      <c r="K1452" s="1">
        <f>IF(COUNTIF($I$5:I1452,I1452)=1,1,0)</f>
        <v>0</v>
      </c>
    </row>
    <row r="1453" spans="1:11" x14ac:dyDescent="0.2">
      <c r="A1453" s="9">
        <v>1449</v>
      </c>
      <c r="B1453" s="5" t="s">
        <v>1448</v>
      </c>
      <c r="C1453" s="6">
        <v>27770</v>
      </c>
      <c r="D1453" s="6">
        <v>27746</v>
      </c>
      <c r="E1453" s="6">
        <v>27530</v>
      </c>
      <c r="F1453" s="6">
        <v>27557</v>
      </c>
      <c r="G1453" s="6">
        <v>27671</v>
      </c>
      <c r="H1453" s="6">
        <v>27628</v>
      </c>
      <c r="I1453" s="1" t="str">
        <f t="shared" si="44"/>
        <v xml:space="preserve"> Pennsylvania</v>
      </c>
      <c r="J1453" s="1" t="str">
        <f t="shared" si="45"/>
        <v>Williamsport city</v>
      </c>
      <c r="K1453" s="1">
        <f>IF(COUNTIF($I$5:I1453,I1453)=1,1,0)</f>
        <v>0</v>
      </c>
    </row>
    <row r="1454" spans="1:11" x14ac:dyDescent="0.2">
      <c r="A1454" s="9">
        <v>1450</v>
      </c>
      <c r="B1454" s="5" t="s">
        <v>1449</v>
      </c>
      <c r="C1454" s="6">
        <v>25839</v>
      </c>
      <c r="D1454" s="6">
        <v>25940</v>
      </c>
      <c r="E1454" s="6">
        <v>26271</v>
      </c>
      <c r="F1454" s="6">
        <v>26767</v>
      </c>
      <c r="G1454" s="6">
        <v>27362</v>
      </c>
      <c r="H1454" s="6">
        <v>27606</v>
      </c>
      <c r="I1454" s="1" t="str">
        <f t="shared" si="44"/>
        <v xml:space="preserve"> Minnesota</v>
      </c>
      <c r="J1454" s="1" t="str">
        <f t="shared" si="45"/>
        <v>Elk River city</v>
      </c>
      <c r="K1454" s="1">
        <f>IF(COUNTIF($I$5:I1454,I1454)=1,1,0)</f>
        <v>0</v>
      </c>
    </row>
    <row r="1455" spans="1:11" x14ac:dyDescent="0.2">
      <c r="A1455" s="9">
        <v>1451</v>
      </c>
      <c r="B1455" s="5" t="s">
        <v>1450</v>
      </c>
      <c r="C1455" s="6">
        <v>27126</v>
      </c>
      <c r="D1455" s="6">
        <v>27126</v>
      </c>
      <c r="E1455" s="6">
        <v>27209</v>
      </c>
      <c r="F1455" s="6">
        <v>27302</v>
      </c>
      <c r="G1455" s="6">
        <v>27426</v>
      </c>
      <c r="H1455" s="6">
        <v>27605</v>
      </c>
      <c r="I1455" s="1" t="str">
        <f t="shared" si="44"/>
        <v xml:space="preserve"> North Carolina</v>
      </c>
      <c r="J1455" s="1" t="str">
        <f t="shared" si="45"/>
        <v>Thomasville city</v>
      </c>
      <c r="K1455" s="1">
        <f>IF(COUNTIF($I$5:I1455,I1455)=1,1,0)</f>
        <v>0</v>
      </c>
    </row>
    <row r="1456" spans="1:11" x14ac:dyDescent="0.2">
      <c r="A1456" s="9">
        <v>1452</v>
      </c>
      <c r="B1456" s="5" t="s">
        <v>1451</v>
      </c>
      <c r="C1456" s="6">
        <v>28640</v>
      </c>
      <c r="D1456" s="6">
        <v>28532</v>
      </c>
      <c r="E1456" s="6">
        <v>28184</v>
      </c>
      <c r="F1456" s="6">
        <v>27787</v>
      </c>
      <c r="G1456" s="6">
        <v>27601</v>
      </c>
      <c r="H1456" s="6">
        <v>27604</v>
      </c>
      <c r="I1456" s="1" t="str">
        <f t="shared" si="44"/>
        <v xml:space="preserve"> Michigan</v>
      </c>
      <c r="J1456" s="1" t="str">
        <f t="shared" si="45"/>
        <v>Allen Park city</v>
      </c>
      <c r="K1456" s="1">
        <f>IF(COUNTIF($I$5:I1456,I1456)=1,1,0)</f>
        <v>0</v>
      </c>
    </row>
    <row r="1457" spans="1:11" x14ac:dyDescent="0.2">
      <c r="A1457" s="9">
        <v>1453</v>
      </c>
      <c r="B1457" s="5" t="s">
        <v>1452</v>
      </c>
      <c r="C1457" s="6">
        <v>26721</v>
      </c>
      <c r="D1457" s="6">
        <v>26729</v>
      </c>
      <c r="E1457" s="6">
        <v>27172</v>
      </c>
      <c r="F1457" s="6">
        <v>27432</v>
      </c>
      <c r="G1457" s="6">
        <v>27435</v>
      </c>
      <c r="H1457" s="6">
        <v>27588</v>
      </c>
      <c r="I1457" s="1" t="str">
        <f t="shared" si="44"/>
        <v xml:space="preserve"> Florida</v>
      </c>
      <c r="J1457" s="1" t="str">
        <f t="shared" si="45"/>
        <v>Temple Terrace city</v>
      </c>
      <c r="K1457" s="1">
        <f>IF(COUNTIF($I$5:I1457,I1457)=1,1,0)</f>
        <v>0</v>
      </c>
    </row>
    <row r="1458" spans="1:11" x14ac:dyDescent="0.2">
      <c r="A1458" s="9">
        <v>1454</v>
      </c>
      <c r="B1458" s="5" t="s">
        <v>1453</v>
      </c>
      <c r="C1458" s="6">
        <v>27066</v>
      </c>
      <c r="D1458" s="6">
        <v>27108</v>
      </c>
      <c r="E1458" s="6">
        <v>27065</v>
      </c>
      <c r="F1458" s="6">
        <v>26912</v>
      </c>
      <c r="G1458" s="6">
        <v>27370</v>
      </c>
      <c r="H1458" s="6">
        <v>27579</v>
      </c>
      <c r="I1458" s="1" t="str">
        <f t="shared" si="44"/>
        <v xml:space="preserve"> Missouri</v>
      </c>
      <c r="J1458" s="1" t="str">
        <f t="shared" si="45"/>
        <v>Gladstone city</v>
      </c>
      <c r="K1458" s="1">
        <f>IF(COUNTIF($I$5:I1458,I1458)=1,1,0)</f>
        <v>0</v>
      </c>
    </row>
    <row r="1459" spans="1:11" x14ac:dyDescent="0.2">
      <c r="A1459" s="9">
        <v>1455</v>
      </c>
      <c r="B1459" s="5" t="s">
        <v>1454</v>
      </c>
      <c r="C1459" s="6">
        <v>26572</v>
      </c>
      <c r="D1459" s="6">
        <v>26566</v>
      </c>
      <c r="E1459" s="6">
        <v>26643</v>
      </c>
      <c r="F1459" s="6">
        <v>26837</v>
      </c>
      <c r="G1459" s="6">
        <v>27179</v>
      </c>
      <c r="H1459" s="6">
        <v>27575</v>
      </c>
      <c r="I1459" s="1" t="str">
        <f t="shared" si="44"/>
        <v xml:space="preserve"> Arkansas</v>
      </c>
      <c r="J1459" s="1" t="str">
        <f t="shared" si="45"/>
        <v>Cabot city</v>
      </c>
      <c r="K1459" s="1">
        <f>IF(COUNTIF($I$5:I1459,I1459)=1,1,0)</f>
        <v>0</v>
      </c>
    </row>
    <row r="1460" spans="1:11" x14ac:dyDescent="0.2">
      <c r="A1460" s="9">
        <v>1456</v>
      </c>
      <c r="B1460" s="5" t="s">
        <v>1455</v>
      </c>
      <c r="C1460" s="6">
        <v>27330</v>
      </c>
      <c r="D1460" s="6">
        <v>27393</v>
      </c>
      <c r="E1460" s="6">
        <v>27281</v>
      </c>
      <c r="F1460" s="6">
        <v>27180</v>
      </c>
      <c r="G1460" s="6">
        <v>27322</v>
      </c>
      <c r="H1460" s="6">
        <v>27502</v>
      </c>
      <c r="I1460" s="1" t="str">
        <f t="shared" si="44"/>
        <v xml:space="preserve"> Wisconsin</v>
      </c>
      <c r="J1460" s="1" t="str">
        <f t="shared" si="45"/>
        <v>Neenah city</v>
      </c>
      <c r="K1460" s="1">
        <f>IF(COUNTIF($I$5:I1460,I1460)=1,1,0)</f>
        <v>0</v>
      </c>
    </row>
    <row r="1461" spans="1:11" x14ac:dyDescent="0.2">
      <c r="A1461" s="9">
        <v>1457</v>
      </c>
      <c r="B1461" s="5" t="s">
        <v>1456</v>
      </c>
      <c r="C1461" s="6">
        <v>27481</v>
      </c>
      <c r="D1461" s="6">
        <v>27454</v>
      </c>
      <c r="E1461" s="6">
        <v>27380</v>
      </c>
      <c r="F1461" s="6">
        <v>27305</v>
      </c>
      <c r="G1461" s="6">
        <v>27398</v>
      </c>
      <c r="H1461" s="6">
        <v>27476</v>
      </c>
      <c r="I1461" s="1" t="str">
        <f t="shared" si="44"/>
        <v xml:space="preserve"> Ohio</v>
      </c>
      <c r="J1461" s="1" t="str">
        <f t="shared" si="45"/>
        <v>Green city</v>
      </c>
      <c r="K1461" s="1">
        <f>IF(COUNTIF($I$5:I1461,I1461)=1,1,0)</f>
        <v>0</v>
      </c>
    </row>
    <row r="1462" spans="1:11" x14ac:dyDescent="0.2">
      <c r="A1462" s="9">
        <v>1458</v>
      </c>
      <c r="B1462" s="5" t="s">
        <v>1457</v>
      </c>
      <c r="C1462" s="6">
        <v>17976</v>
      </c>
      <c r="D1462" s="6">
        <v>18423</v>
      </c>
      <c r="E1462" s="6">
        <v>21006</v>
      </c>
      <c r="F1462" s="6">
        <v>22827</v>
      </c>
      <c r="G1462" s="6">
        <v>24666</v>
      </c>
      <c r="H1462" s="6">
        <v>27467</v>
      </c>
      <c r="I1462" s="1" t="str">
        <f t="shared" si="44"/>
        <v xml:space="preserve"> Texas</v>
      </c>
      <c r="J1462" s="1" t="str">
        <f t="shared" si="45"/>
        <v>Fate city</v>
      </c>
      <c r="K1462" s="1">
        <f>IF(COUNTIF($I$5:I1462,I1462)=1,1,0)</f>
        <v>0</v>
      </c>
    </row>
    <row r="1463" spans="1:11" x14ac:dyDescent="0.2">
      <c r="A1463" s="9">
        <v>1459</v>
      </c>
      <c r="B1463" s="5" t="s">
        <v>1458</v>
      </c>
      <c r="C1463" s="6">
        <v>28173</v>
      </c>
      <c r="D1463" s="6">
        <v>28077</v>
      </c>
      <c r="E1463" s="6">
        <v>27638</v>
      </c>
      <c r="F1463" s="6">
        <v>27302</v>
      </c>
      <c r="G1463" s="6">
        <v>27244</v>
      </c>
      <c r="H1463" s="6">
        <v>27443</v>
      </c>
      <c r="I1463" s="1" t="str">
        <f t="shared" si="44"/>
        <v xml:space="preserve"> Illinois</v>
      </c>
      <c r="J1463" s="1" t="str">
        <f t="shared" si="45"/>
        <v>Wilmette village</v>
      </c>
      <c r="K1463" s="1">
        <f>IF(COUNTIF($I$5:I1463,I1463)=1,1,0)</f>
        <v>0</v>
      </c>
    </row>
    <row r="1464" spans="1:11" x14ac:dyDescent="0.2">
      <c r="A1464" s="9">
        <v>1460</v>
      </c>
      <c r="B1464" s="5" t="s">
        <v>1459</v>
      </c>
      <c r="C1464" s="6">
        <v>28435</v>
      </c>
      <c r="D1464" s="6">
        <v>28328</v>
      </c>
      <c r="E1464" s="6">
        <v>27982</v>
      </c>
      <c r="F1464" s="6">
        <v>27588</v>
      </c>
      <c r="G1464" s="6">
        <v>27412</v>
      </c>
      <c r="H1464" s="6">
        <v>27424</v>
      </c>
      <c r="I1464" s="1" t="str">
        <f t="shared" si="44"/>
        <v xml:space="preserve"> Michigan</v>
      </c>
      <c r="J1464" s="1" t="str">
        <f t="shared" si="45"/>
        <v>Hamtramck city</v>
      </c>
      <c r="K1464" s="1">
        <f>IF(COUNTIF($I$5:I1464,I1464)=1,1,0)</f>
        <v>0</v>
      </c>
    </row>
    <row r="1465" spans="1:11" x14ac:dyDescent="0.2">
      <c r="A1465" s="9">
        <v>1461</v>
      </c>
      <c r="B1465" s="5" t="s">
        <v>1460</v>
      </c>
      <c r="C1465" s="6">
        <v>27053</v>
      </c>
      <c r="D1465" s="6">
        <v>25397</v>
      </c>
      <c r="E1465" s="6">
        <v>26236</v>
      </c>
      <c r="F1465" s="6">
        <v>26723</v>
      </c>
      <c r="G1465" s="6">
        <v>26993</v>
      </c>
      <c r="H1465" s="6">
        <v>27409</v>
      </c>
      <c r="I1465" s="1" t="str">
        <f t="shared" si="44"/>
        <v xml:space="preserve"> California</v>
      </c>
      <c r="J1465" s="1" t="str">
        <f t="shared" si="45"/>
        <v>Wasco city</v>
      </c>
      <c r="K1465" s="1">
        <f>IF(COUNTIF($I$5:I1465,I1465)=1,1,0)</f>
        <v>0</v>
      </c>
    </row>
    <row r="1466" spans="1:11" x14ac:dyDescent="0.2">
      <c r="A1466" s="9">
        <v>1462</v>
      </c>
      <c r="B1466" s="5" t="s">
        <v>1461</v>
      </c>
      <c r="C1466" s="6">
        <v>26107</v>
      </c>
      <c r="D1466" s="6">
        <v>26497</v>
      </c>
      <c r="E1466" s="6">
        <v>26964</v>
      </c>
      <c r="F1466" s="6">
        <v>27125</v>
      </c>
      <c r="G1466" s="6">
        <v>27141</v>
      </c>
      <c r="H1466" s="6">
        <v>27313</v>
      </c>
      <c r="I1466" s="1" t="str">
        <f t="shared" si="44"/>
        <v xml:space="preserve"> Washington</v>
      </c>
      <c r="J1466" s="1" t="str">
        <f t="shared" si="45"/>
        <v>Camas city</v>
      </c>
      <c r="K1466" s="1">
        <f>IF(COUNTIF($I$5:I1466,I1466)=1,1,0)</f>
        <v>0</v>
      </c>
    </row>
    <row r="1467" spans="1:11" x14ac:dyDescent="0.2">
      <c r="A1467" s="9">
        <v>1463</v>
      </c>
      <c r="B1467" s="5" t="s">
        <v>1462</v>
      </c>
      <c r="C1467" s="6">
        <v>27707</v>
      </c>
      <c r="D1467" s="6">
        <v>27629</v>
      </c>
      <c r="E1467" s="6">
        <v>27179</v>
      </c>
      <c r="F1467" s="6">
        <v>27054</v>
      </c>
      <c r="G1467" s="6">
        <v>27079</v>
      </c>
      <c r="H1467" s="6">
        <v>27307</v>
      </c>
      <c r="I1467" s="1" t="str">
        <f t="shared" si="44"/>
        <v xml:space="preserve"> Texas</v>
      </c>
      <c r="J1467" s="1" t="str">
        <f t="shared" si="45"/>
        <v>Balch Springs city</v>
      </c>
      <c r="K1467" s="1">
        <f>IF(COUNTIF($I$5:I1467,I1467)=1,1,0)</f>
        <v>0</v>
      </c>
    </row>
    <row r="1468" spans="1:11" x14ac:dyDescent="0.2">
      <c r="A1468" s="9">
        <v>1464</v>
      </c>
      <c r="B1468" s="5" t="s">
        <v>1463</v>
      </c>
      <c r="C1468" s="6">
        <v>28438</v>
      </c>
      <c r="D1468" s="6">
        <v>28350</v>
      </c>
      <c r="E1468" s="6">
        <v>27775</v>
      </c>
      <c r="F1468" s="6">
        <v>27445</v>
      </c>
      <c r="G1468" s="6">
        <v>27284</v>
      </c>
      <c r="H1468" s="6">
        <v>27250</v>
      </c>
      <c r="I1468" s="1" t="str">
        <f t="shared" si="44"/>
        <v xml:space="preserve"> California</v>
      </c>
      <c r="J1468" s="1" t="str">
        <f t="shared" si="45"/>
        <v>Walnut city</v>
      </c>
      <c r="K1468" s="1">
        <f>IF(COUNTIF($I$5:I1468,I1468)=1,1,0)</f>
        <v>0</v>
      </c>
    </row>
    <row r="1469" spans="1:11" x14ac:dyDescent="0.2">
      <c r="A1469" s="9">
        <v>1465</v>
      </c>
      <c r="B1469" s="5" t="s">
        <v>1464</v>
      </c>
      <c r="C1469" s="6">
        <v>27146</v>
      </c>
      <c r="D1469" s="6">
        <v>27092</v>
      </c>
      <c r="E1469" s="6">
        <v>27187</v>
      </c>
      <c r="F1469" s="6">
        <v>27131</v>
      </c>
      <c r="G1469" s="6">
        <v>27070</v>
      </c>
      <c r="H1469" s="6">
        <v>27160</v>
      </c>
      <c r="I1469" s="1" t="str">
        <f t="shared" si="44"/>
        <v xml:space="preserve"> New York</v>
      </c>
      <c r="J1469" s="1" t="str">
        <f t="shared" si="45"/>
        <v>Lindenhurst village</v>
      </c>
      <c r="K1469" s="1">
        <f>IF(COUNTIF($I$5:I1469,I1469)=1,1,0)</f>
        <v>0</v>
      </c>
    </row>
    <row r="1470" spans="1:11" x14ac:dyDescent="0.2">
      <c r="A1470" s="9">
        <v>1466</v>
      </c>
      <c r="B1470" s="5" t="s">
        <v>1465</v>
      </c>
      <c r="C1470" s="6">
        <v>25449</v>
      </c>
      <c r="D1470" s="6">
        <v>25518</v>
      </c>
      <c r="E1470" s="6">
        <v>25612</v>
      </c>
      <c r="F1470" s="6">
        <v>25809</v>
      </c>
      <c r="G1470" s="6">
        <v>26296</v>
      </c>
      <c r="H1470" s="6">
        <v>27136</v>
      </c>
      <c r="I1470" s="1" t="str">
        <f t="shared" si="44"/>
        <v xml:space="preserve"> Oregon</v>
      </c>
      <c r="J1470" s="1" t="str">
        <f t="shared" si="45"/>
        <v>Newberg city</v>
      </c>
      <c r="K1470" s="1">
        <f>IF(COUNTIF($I$5:I1470,I1470)=1,1,0)</f>
        <v>0</v>
      </c>
    </row>
    <row r="1471" spans="1:11" x14ac:dyDescent="0.2">
      <c r="A1471" s="9">
        <v>1467</v>
      </c>
      <c r="B1471" s="5" t="s">
        <v>1466</v>
      </c>
      <c r="C1471" s="6">
        <v>28335</v>
      </c>
      <c r="D1471" s="6">
        <v>28265</v>
      </c>
      <c r="E1471" s="6">
        <v>27346</v>
      </c>
      <c r="F1471" s="6">
        <v>26965</v>
      </c>
      <c r="G1471" s="6">
        <v>26927</v>
      </c>
      <c r="H1471" s="6">
        <v>27132</v>
      </c>
      <c r="I1471" s="1" t="str">
        <f t="shared" si="44"/>
        <v xml:space="preserve"> California</v>
      </c>
      <c r="J1471" s="1" t="str">
        <f t="shared" si="45"/>
        <v>Belmont city</v>
      </c>
      <c r="K1471" s="1">
        <f>IF(COUNTIF($I$5:I1471,I1471)=1,1,0)</f>
        <v>0</v>
      </c>
    </row>
    <row r="1472" spans="1:11" x14ac:dyDescent="0.2">
      <c r="A1472" s="9">
        <v>1468</v>
      </c>
      <c r="B1472" s="5" t="s">
        <v>1467</v>
      </c>
      <c r="C1472" s="6">
        <v>26337</v>
      </c>
      <c r="D1472" s="6">
        <v>26385</v>
      </c>
      <c r="E1472" s="6">
        <v>26499</v>
      </c>
      <c r="F1472" s="6">
        <v>26700</v>
      </c>
      <c r="G1472" s="6">
        <v>26862</v>
      </c>
      <c r="H1472" s="6">
        <v>27122</v>
      </c>
      <c r="I1472" s="1" t="str">
        <f t="shared" si="44"/>
        <v xml:space="preserve"> Ohio</v>
      </c>
      <c r="J1472" s="1" t="str">
        <f t="shared" si="45"/>
        <v>Troy city</v>
      </c>
      <c r="K1472" s="1">
        <f>IF(COUNTIF($I$5:I1472,I1472)=1,1,0)</f>
        <v>0</v>
      </c>
    </row>
    <row r="1473" spans="1:11" x14ac:dyDescent="0.2">
      <c r="A1473" s="9">
        <v>1469</v>
      </c>
      <c r="B1473" s="5" t="s">
        <v>1468</v>
      </c>
      <c r="C1473" s="6">
        <v>27262</v>
      </c>
      <c r="D1473" s="6">
        <v>27207</v>
      </c>
      <c r="E1473" s="6">
        <v>27109</v>
      </c>
      <c r="F1473" s="6">
        <v>27000</v>
      </c>
      <c r="G1473" s="6">
        <v>26995</v>
      </c>
      <c r="H1473" s="6">
        <v>27091</v>
      </c>
      <c r="I1473" s="1" t="str">
        <f t="shared" si="44"/>
        <v xml:space="preserve"> Illinois</v>
      </c>
      <c r="J1473" s="1" t="str">
        <f t="shared" si="45"/>
        <v>Round Lake Beach village</v>
      </c>
      <c r="K1473" s="1">
        <f>IF(COUNTIF($I$5:I1473,I1473)=1,1,0)</f>
        <v>0</v>
      </c>
    </row>
    <row r="1474" spans="1:11" x14ac:dyDescent="0.2">
      <c r="A1474" s="9">
        <v>1470</v>
      </c>
      <c r="B1474" s="5" t="s">
        <v>1469</v>
      </c>
      <c r="C1474" s="6">
        <v>25034</v>
      </c>
      <c r="D1474" s="6">
        <v>25125</v>
      </c>
      <c r="E1474" s="6">
        <v>25693</v>
      </c>
      <c r="F1474" s="6">
        <v>26411</v>
      </c>
      <c r="G1474" s="6">
        <v>26953</v>
      </c>
      <c r="H1474" s="6">
        <v>27087</v>
      </c>
      <c r="I1474" s="1" t="str">
        <f t="shared" si="44"/>
        <v xml:space="preserve"> Florida</v>
      </c>
      <c r="J1474" s="1" t="str">
        <f t="shared" si="45"/>
        <v>Sebastian city</v>
      </c>
      <c r="K1474" s="1">
        <f>IF(COUNTIF($I$5:I1474,I1474)=1,1,0)</f>
        <v>0</v>
      </c>
    </row>
    <row r="1475" spans="1:11" x14ac:dyDescent="0.2">
      <c r="A1475" s="9">
        <v>1471</v>
      </c>
      <c r="B1475" s="5" t="s">
        <v>1470</v>
      </c>
      <c r="C1475" s="6">
        <v>26127</v>
      </c>
      <c r="D1475" s="6">
        <v>26205</v>
      </c>
      <c r="E1475" s="6">
        <v>26347</v>
      </c>
      <c r="F1475" s="6">
        <v>26501</v>
      </c>
      <c r="G1475" s="6">
        <v>26791</v>
      </c>
      <c r="H1475" s="6">
        <v>27079</v>
      </c>
      <c r="I1475" s="1" t="str">
        <f t="shared" si="44"/>
        <v xml:space="preserve"> Alabama</v>
      </c>
      <c r="J1475" s="1" t="str">
        <f t="shared" si="45"/>
        <v>Trussville city</v>
      </c>
      <c r="K1475" s="1">
        <f>IF(COUNTIF($I$5:I1475,I1475)=1,1,0)</f>
        <v>0</v>
      </c>
    </row>
    <row r="1476" spans="1:11" x14ac:dyDescent="0.2">
      <c r="A1476" s="9">
        <v>1472</v>
      </c>
      <c r="B1476" s="5" t="s">
        <v>1471</v>
      </c>
      <c r="C1476" s="6">
        <v>26214</v>
      </c>
      <c r="D1476" s="6">
        <v>26088</v>
      </c>
      <c r="E1476" s="6">
        <v>25934</v>
      </c>
      <c r="F1476" s="6">
        <v>26701</v>
      </c>
      <c r="G1476" s="6">
        <v>26919</v>
      </c>
      <c r="H1476" s="6">
        <v>27076</v>
      </c>
      <c r="I1476" s="1" t="str">
        <f t="shared" si="44"/>
        <v xml:space="preserve"> Oregon</v>
      </c>
      <c r="J1476" s="1" t="str">
        <f t="shared" si="45"/>
        <v>Forest Grove city</v>
      </c>
      <c r="K1476" s="1">
        <f>IF(COUNTIF($I$5:I1476,I1476)=1,1,0)</f>
        <v>0</v>
      </c>
    </row>
    <row r="1477" spans="1:11" x14ac:dyDescent="0.2">
      <c r="A1477" s="9">
        <v>1473</v>
      </c>
      <c r="B1477" s="5" t="s">
        <v>1472</v>
      </c>
      <c r="C1477" s="6">
        <v>23640</v>
      </c>
      <c r="D1477" s="6">
        <v>23797</v>
      </c>
      <c r="E1477" s="6">
        <v>24708</v>
      </c>
      <c r="F1477" s="6">
        <v>25613</v>
      </c>
      <c r="G1477" s="6">
        <v>26448</v>
      </c>
      <c r="H1477" s="6">
        <v>27068</v>
      </c>
      <c r="I1477" s="1" t="str">
        <f t="shared" si="44"/>
        <v xml:space="preserve"> Oklahoma</v>
      </c>
      <c r="J1477" s="1" t="str">
        <f t="shared" si="45"/>
        <v>Yukon city</v>
      </c>
      <c r="K1477" s="1">
        <f>IF(COUNTIF($I$5:I1477,I1477)=1,1,0)</f>
        <v>0</v>
      </c>
    </row>
    <row r="1478" spans="1:11" x14ac:dyDescent="0.2">
      <c r="A1478" s="9">
        <v>1474</v>
      </c>
      <c r="B1478" s="5" t="s">
        <v>1473</v>
      </c>
      <c r="C1478" s="6">
        <v>27061</v>
      </c>
      <c r="D1478" s="6">
        <v>27121</v>
      </c>
      <c r="E1478" s="6">
        <v>27311</v>
      </c>
      <c r="F1478" s="6">
        <v>27108</v>
      </c>
      <c r="G1478" s="6">
        <v>26955</v>
      </c>
      <c r="H1478" s="6">
        <v>27057</v>
      </c>
      <c r="I1478" s="1" t="str">
        <f t="shared" ref="I1478:I1541" si="46">_xlfn.TEXTAFTER(B1478,",")</f>
        <v xml:space="preserve"> California</v>
      </c>
      <c r="J1478" s="1" t="str">
        <f t="shared" ref="J1478:J1541" si="47">_xlfn.TEXTBEFORE(B1478,", ")</f>
        <v>Lemoore city</v>
      </c>
      <c r="K1478" s="1">
        <f>IF(COUNTIF($I$5:I1478,I1478)=1,1,0)</f>
        <v>0</v>
      </c>
    </row>
    <row r="1479" spans="1:11" x14ac:dyDescent="0.2">
      <c r="A1479" s="9">
        <v>1475</v>
      </c>
      <c r="B1479" s="5" t="s">
        <v>1474</v>
      </c>
      <c r="C1479" s="6">
        <v>29700</v>
      </c>
      <c r="D1479" s="6">
        <v>29504</v>
      </c>
      <c r="E1479" s="6">
        <v>28730</v>
      </c>
      <c r="F1479" s="6">
        <v>27964</v>
      </c>
      <c r="G1479" s="6">
        <v>27578</v>
      </c>
      <c r="H1479" s="6">
        <v>27015</v>
      </c>
      <c r="I1479" s="1" t="str">
        <f t="shared" si="46"/>
        <v xml:space="preserve"> Mississippi</v>
      </c>
      <c r="J1479" s="1" t="str">
        <f t="shared" si="47"/>
        <v>Greenville city</v>
      </c>
      <c r="K1479" s="1">
        <f>IF(COUNTIF($I$5:I1479,I1479)=1,1,0)</f>
        <v>0</v>
      </c>
    </row>
    <row r="1480" spans="1:11" x14ac:dyDescent="0.2">
      <c r="A1480" s="9">
        <v>1476</v>
      </c>
      <c r="B1480" s="5" t="s">
        <v>1475</v>
      </c>
      <c r="C1480" s="6">
        <v>26858</v>
      </c>
      <c r="D1480" s="6">
        <v>26825</v>
      </c>
      <c r="E1480" s="6">
        <v>26807</v>
      </c>
      <c r="F1480" s="6">
        <v>26874</v>
      </c>
      <c r="G1480" s="6">
        <v>26887</v>
      </c>
      <c r="H1480" s="6">
        <v>27002</v>
      </c>
      <c r="I1480" s="1" t="str">
        <f t="shared" si="46"/>
        <v xml:space="preserve"> Illinois</v>
      </c>
      <c r="J1480" s="1" t="str">
        <f t="shared" si="47"/>
        <v>Vernon Hills village</v>
      </c>
      <c r="K1480" s="1">
        <f>IF(COUNTIF($I$5:I1480,I1480)=1,1,0)</f>
        <v>0</v>
      </c>
    </row>
    <row r="1481" spans="1:11" x14ac:dyDescent="0.2">
      <c r="A1481" s="9">
        <v>1477</v>
      </c>
      <c r="B1481" s="5" t="s">
        <v>1476</v>
      </c>
      <c r="C1481" s="6">
        <v>22961</v>
      </c>
      <c r="D1481" s="6">
        <v>23034</v>
      </c>
      <c r="E1481" s="6">
        <v>23359</v>
      </c>
      <c r="F1481" s="6">
        <v>24494</v>
      </c>
      <c r="G1481" s="6">
        <v>26496</v>
      </c>
      <c r="H1481" s="6">
        <v>27001</v>
      </c>
      <c r="I1481" s="1" t="str">
        <f t="shared" si="46"/>
        <v xml:space="preserve"> South Carolina</v>
      </c>
      <c r="J1481" s="1" t="str">
        <f t="shared" si="47"/>
        <v>Easley city</v>
      </c>
      <c r="K1481" s="1">
        <f>IF(COUNTIF($I$5:I1481,I1481)=1,1,0)</f>
        <v>0</v>
      </c>
    </row>
    <row r="1482" spans="1:11" x14ac:dyDescent="0.2">
      <c r="A1482" s="9">
        <v>1478</v>
      </c>
      <c r="B1482" s="5" t="s">
        <v>1477</v>
      </c>
      <c r="C1482" s="6">
        <v>26500</v>
      </c>
      <c r="D1482" s="6">
        <v>26581</v>
      </c>
      <c r="E1482" s="6">
        <v>27082</v>
      </c>
      <c r="F1482" s="6">
        <v>27060</v>
      </c>
      <c r="G1482" s="6">
        <v>26950</v>
      </c>
      <c r="H1482" s="6">
        <v>26994</v>
      </c>
      <c r="I1482" s="1" t="str">
        <f t="shared" si="46"/>
        <v xml:space="preserve"> Maine</v>
      </c>
      <c r="J1482" s="1" t="str">
        <f t="shared" si="47"/>
        <v>South Portland city</v>
      </c>
      <c r="K1482" s="1">
        <f>IF(COUNTIF($I$5:I1482,I1482)=1,1,0)</f>
        <v>0</v>
      </c>
    </row>
    <row r="1483" spans="1:11" x14ac:dyDescent="0.2">
      <c r="A1483" s="9">
        <v>1479</v>
      </c>
      <c r="B1483" s="5" t="s">
        <v>1478</v>
      </c>
      <c r="C1483" s="6">
        <v>27246</v>
      </c>
      <c r="D1483" s="6">
        <v>27237</v>
      </c>
      <c r="E1483" s="6">
        <v>26567</v>
      </c>
      <c r="F1483" s="6">
        <v>27061</v>
      </c>
      <c r="G1483" s="6">
        <v>27062</v>
      </c>
      <c r="H1483" s="6">
        <v>26982</v>
      </c>
      <c r="I1483" s="1" t="str">
        <f t="shared" si="46"/>
        <v xml:space="preserve"> Ohio</v>
      </c>
      <c r="J1483" s="1" t="str">
        <f t="shared" si="47"/>
        <v>Wooster city</v>
      </c>
      <c r="K1483" s="1">
        <f>IF(COUNTIF($I$5:I1483,I1483)=1,1,0)</f>
        <v>0</v>
      </c>
    </row>
    <row r="1484" spans="1:11" x14ac:dyDescent="0.2">
      <c r="A1484" s="9">
        <v>1480</v>
      </c>
      <c r="B1484" s="5" t="s">
        <v>1479</v>
      </c>
      <c r="C1484" s="6">
        <v>25355</v>
      </c>
      <c r="D1484" s="6">
        <v>25434</v>
      </c>
      <c r="E1484" s="6">
        <v>25721</v>
      </c>
      <c r="F1484" s="6">
        <v>25940</v>
      </c>
      <c r="G1484" s="6">
        <v>26383</v>
      </c>
      <c r="H1484" s="6">
        <v>26969</v>
      </c>
      <c r="I1484" s="1" t="str">
        <f t="shared" si="46"/>
        <v xml:space="preserve"> Washington</v>
      </c>
      <c r="J1484" s="1" t="str">
        <f t="shared" si="47"/>
        <v>Moses Lake city</v>
      </c>
      <c r="K1484" s="1">
        <f>IF(COUNTIF($I$5:I1484,I1484)=1,1,0)</f>
        <v>0</v>
      </c>
    </row>
    <row r="1485" spans="1:11" x14ac:dyDescent="0.2">
      <c r="A1485" s="9">
        <v>1481</v>
      </c>
      <c r="B1485" s="5" t="s">
        <v>1480</v>
      </c>
      <c r="C1485" s="6">
        <v>27351</v>
      </c>
      <c r="D1485" s="6">
        <v>27280</v>
      </c>
      <c r="E1485" s="6">
        <v>27180</v>
      </c>
      <c r="F1485" s="6">
        <v>26909</v>
      </c>
      <c r="G1485" s="6">
        <v>26954</v>
      </c>
      <c r="H1485" s="6">
        <v>26948</v>
      </c>
      <c r="I1485" s="1" t="str">
        <f t="shared" si="46"/>
        <v xml:space="preserve"> Iowa</v>
      </c>
      <c r="J1485" s="1" t="str">
        <f t="shared" si="47"/>
        <v>Mason City city</v>
      </c>
      <c r="K1485" s="1">
        <f>IF(COUNTIF($I$5:I1485,I1485)=1,1,0)</f>
        <v>0</v>
      </c>
    </row>
    <row r="1486" spans="1:11" x14ac:dyDescent="0.2">
      <c r="A1486" s="9">
        <v>1482</v>
      </c>
      <c r="B1486" s="5" t="s">
        <v>1481</v>
      </c>
      <c r="C1486" s="6">
        <v>26931</v>
      </c>
      <c r="D1486" s="6">
        <v>26920</v>
      </c>
      <c r="E1486" s="6">
        <v>26688</v>
      </c>
      <c r="F1486" s="6">
        <v>26675</v>
      </c>
      <c r="G1486" s="6">
        <v>26497</v>
      </c>
      <c r="H1486" s="6">
        <v>26939</v>
      </c>
      <c r="I1486" s="1" t="str">
        <f t="shared" si="46"/>
        <v xml:space="preserve"> Minnesota</v>
      </c>
      <c r="J1486" s="1" t="str">
        <f t="shared" si="47"/>
        <v>Shoreview city</v>
      </c>
      <c r="K1486" s="1">
        <f>IF(COUNTIF($I$5:I1486,I1486)=1,1,0)</f>
        <v>0</v>
      </c>
    </row>
    <row r="1487" spans="1:11" x14ac:dyDescent="0.2">
      <c r="A1487" s="9">
        <v>1483</v>
      </c>
      <c r="B1487" s="5" t="s">
        <v>1482</v>
      </c>
      <c r="C1487" s="6">
        <v>26096</v>
      </c>
      <c r="D1487" s="6">
        <v>26153</v>
      </c>
      <c r="E1487" s="6">
        <v>26156</v>
      </c>
      <c r="F1487" s="6">
        <v>26141</v>
      </c>
      <c r="G1487" s="6">
        <v>26631</v>
      </c>
      <c r="H1487" s="6">
        <v>26915</v>
      </c>
      <c r="I1487" s="1" t="str">
        <f t="shared" si="46"/>
        <v xml:space="preserve"> Illinois</v>
      </c>
      <c r="J1487" s="1" t="str">
        <f t="shared" si="47"/>
        <v>Lockport city</v>
      </c>
      <c r="K1487" s="1">
        <f>IF(COUNTIF($I$5:I1487,I1487)=1,1,0)</f>
        <v>0</v>
      </c>
    </row>
    <row r="1488" spans="1:11" x14ac:dyDescent="0.2">
      <c r="A1488" s="9">
        <v>1484</v>
      </c>
      <c r="B1488" s="5" t="s">
        <v>1483</v>
      </c>
      <c r="C1488" s="6">
        <v>27533</v>
      </c>
      <c r="D1488" s="6">
        <v>27349</v>
      </c>
      <c r="E1488" s="6">
        <v>26933</v>
      </c>
      <c r="F1488" s="6">
        <v>26875</v>
      </c>
      <c r="G1488" s="6">
        <v>26693</v>
      </c>
      <c r="H1488" s="6">
        <v>26895</v>
      </c>
      <c r="I1488" s="1" t="str">
        <f t="shared" si="46"/>
        <v xml:space="preserve"> New York</v>
      </c>
      <c r="J1488" s="1" t="str">
        <f t="shared" si="47"/>
        <v>Ossining village</v>
      </c>
      <c r="K1488" s="1">
        <f>IF(COUNTIF($I$5:I1488,I1488)=1,1,0)</f>
        <v>0</v>
      </c>
    </row>
    <row r="1489" spans="1:11" x14ac:dyDescent="0.2">
      <c r="A1489" s="9">
        <v>1485</v>
      </c>
      <c r="B1489" s="5" t="s">
        <v>1484</v>
      </c>
      <c r="C1489" s="6">
        <v>25456</v>
      </c>
      <c r="D1489" s="6">
        <v>25521</v>
      </c>
      <c r="E1489" s="6">
        <v>25945</v>
      </c>
      <c r="F1489" s="6">
        <v>26458</v>
      </c>
      <c r="G1489" s="6">
        <v>26617</v>
      </c>
      <c r="H1489" s="6">
        <v>26894</v>
      </c>
      <c r="I1489" s="1" t="str">
        <f t="shared" si="46"/>
        <v xml:space="preserve"> Idaho</v>
      </c>
      <c r="J1489" s="1" t="str">
        <f t="shared" si="47"/>
        <v>Moscow city</v>
      </c>
      <c r="K1489" s="1">
        <f>IF(COUNTIF($I$5:I1489,I1489)=1,1,0)</f>
        <v>0</v>
      </c>
    </row>
    <row r="1490" spans="1:11" x14ac:dyDescent="0.2">
      <c r="A1490" s="9">
        <v>1486</v>
      </c>
      <c r="B1490" s="5" t="s">
        <v>1485</v>
      </c>
      <c r="C1490" s="6">
        <v>27566</v>
      </c>
      <c r="D1490" s="6">
        <v>27517</v>
      </c>
      <c r="E1490" s="6">
        <v>27332</v>
      </c>
      <c r="F1490" s="6">
        <v>27125</v>
      </c>
      <c r="G1490" s="6">
        <v>26970</v>
      </c>
      <c r="H1490" s="6">
        <v>26854</v>
      </c>
      <c r="I1490" s="1" t="str">
        <f t="shared" si="46"/>
        <v xml:space="preserve"> Illinois</v>
      </c>
      <c r="J1490" s="1" t="str">
        <f t="shared" si="47"/>
        <v>Granite City city</v>
      </c>
      <c r="K1490" s="1">
        <f>IF(COUNTIF($I$5:I1490,I1490)=1,1,0)</f>
        <v>0</v>
      </c>
    </row>
    <row r="1491" spans="1:11" x14ac:dyDescent="0.2">
      <c r="A1491" s="9">
        <v>1487</v>
      </c>
      <c r="B1491" s="5" t="s">
        <v>1486</v>
      </c>
      <c r="C1491" s="6">
        <v>28519</v>
      </c>
      <c r="D1491" s="6">
        <v>28404</v>
      </c>
      <c r="E1491" s="6">
        <v>27997</v>
      </c>
      <c r="F1491" s="6">
        <v>27473</v>
      </c>
      <c r="G1491" s="6">
        <v>27078</v>
      </c>
      <c r="H1491" s="6">
        <v>26849</v>
      </c>
      <c r="I1491" s="1" t="str">
        <f t="shared" si="46"/>
        <v xml:space="preserve"> Louisiana</v>
      </c>
      <c r="J1491" s="1" t="str">
        <f t="shared" si="47"/>
        <v>New Iberia city</v>
      </c>
      <c r="K1491" s="1">
        <f>IF(COUNTIF($I$5:I1491,I1491)=1,1,0)</f>
        <v>0</v>
      </c>
    </row>
    <row r="1492" spans="1:11" x14ac:dyDescent="0.2">
      <c r="A1492" s="9">
        <v>1488</v>
      </c>
      <c r="B1492" s="5" t="s">
        <v>1487</v>
      </c>
      <c r="C1492" s="6">
        <v>27475</v>
      </c>
      <c r="D1492" s="6">
        <v>27371</v>
      </c>
      <c r="E1492" s="6">
        <v>26864</v>
      </c>
      <c r="F1492" s="6">
        <v>26506</v>
      </c>
      <c r="G1492" s="6">
        <v>26418</v>
      </c>
      <c r="H1492" s="6">
        <v>26813</v>
      </c>
      <c r="I1492" s="1" t="str">
        <f t="shared" si="46"/>
        <v xml:space="preserve"> Illinois</v>
      </c>
      <c r="J1492" s="1" t="str">
        <f t="shared" si="47"/>
        <v>Oak Forest city</v>
      </c>
      <c r="K1492" s="1">
        <f>IF(COUNTIF($I$5:I1492,I1492)=1,1,0)</f>
        <v>0</v>
      </c>
    </row>
    <row r="1493" spans="1:11" x14ac:dyDescent="0.2">
      <c r="A1493" s="9">
        <v>1489</v>
      </c>
      <c r="B1493" s="5" t="s">
        <v>1488</v>
      </c>
      <c r="C1493" s="6">
        <v>25427</v>
      </c>
      <c r="D1493" s="6">
        <v>25506</v>
      </c>
      <c r="E1493" s="6">
        <v>26042</v>
      </c>
      <c r="F1493" s="6">
        <v>26624</v>
      </c>
      <c r="G1493" s="6">
        <v>27085</v>
      </c>
      <c r="H1493" s="6">
        <v>26801</v>
      </c>
      <c r="I1493" s="1" t="str">
        <f t="shared" si="46"/>
        <v xml:space="preserve"> Mississippi</v>
      </c>
      <c r="J1493" s="1" t="str">
        <f t="shared" si="47"/>
        <v>Oxford city</v>
      </c>
      <c r="K1493" s="1">
        <f>IF(COUNTIF($I$5:I1493,I1493)=1,1,0)</f>
        <v>0</v>
      </c>
    </row>
    <row r="1494" spans="1:11" x14ac:dyDescent="0.2">
      <c r="A1494" s="9">
        <v>1490</v>
      </c>
      <c r="B1494" s="5" t="s">
        <v>1489</v>
      </c>
      <c r="C1494" s="6">
        <v>26692</v>
      </c>
      <c r="D1494" s="6">
        <v>26606</v>
      </c>
      <c r="E1494" s="6">
        <v>26491</v>
      </c>
      <c r="F1494" s="6">
        <v>26441</v>
      </c>
      <c r="G1494" s="6">
        <v>26518</v>
      </c>
      <c r="H1494" s="6">
        <v>26786</v>
      </c>
      <c r="I1494" s="1" t="str">
        <f t="shared" si="46"/>
        <v xml:space="preserve"> New Jersey</v>
      </c>
      <c r="J1494" s="1" t="str">
        <f t="shared" si="47"/>
        <v>Paramus borough</v>
      </c>
      <c r="K1494" s="1">
        <f>IF(COUNTIF($I$5:I1494,I1494)=1,1,0)</f>
        <v>0</v>
      </c>
    </row>
    <row r="1495" spans="1:11" x14ac:dyDescent="0.2">
      <c r="A1495" s="9">
        <v>1491</v>
      </c>
      <c r="B1495" s="5" t="s">
        <v>1490</v>
      </c>
      <c r="C1495" s="6">
        <v>26845</v>
      </c>
      <c r="D1495" s="6">
        <v>26813</v>
      </c>
      <c r="E1495" s="6">
        <v>26726</v>
      </c>
      <c r="F1495" s="6">
        <v>26675</v>
      </c>
      <c r="G1495" s="6">
        <v>26764</v>
      </c>
      <c r="H1495" s="6">
        <v>26715</v>
      </c>
      <c r="I1495" s="1" t="str">
        <f t="shared" si="46"/>
        <v xml:space="preserve"> Illinois</v>
      </c>
      <c r="J1495" s="1" t="str">
        <f t="shared" si="47"/>
        <v>Edwardsville city</v>
      </c>
      <c r="K1495" s="1">
        <f>IF(COUNTIF($I$5:I1495,I1495)=1,1,0)</f>
        <v>0</v>
      </c>
    </row>
    <row r="1496" spans="1:11" x14ac:dyDescent="0.2">
      <c r="A1496" s="9">
        <v>1492</v>
      </c>
      <c r="B1496" s="5" t="s">
        <v>1491</v>
      </c>
      <c r="C1496" s="6">
        <v>27130</v>
      </c>
      <c r="D1496" s="6">
        <v>27134</v>
      </c>
      <c r="E1496" s="6">
        <v>26898</v>
      </c>
      <c r="F1496" s="6">
        <v>26752</v>
      </c>
      <c r="G1496" s="6">
        <v>26761</v>
      </c>
      <c r="H1496" s="6">
        <v>26712</v>
      </c>
      <c r="I1496" s="1" t="str">
        <f t="shared" si="46"/>
        <v xml:space="preserve"> Kentucky</v>
      </c>
      <c r="J1496" s="1" t="str">
        <f t="shared" si="47"/>
        <v>Paducah city</v>
      </c>
      <c r="K1496" s="1">
        <f>IF(COUNTIF($I$5:I1496,I1496)=1,1,0)</f>
        <v>0</v>
      </c>
    </row>
    <row r="1497" spans="1:11" x14ac:dyDescent="0.2">
      <c r="A1497" s="9">
        <v>1493</v>
      </c>
      <c r="B1497" s="5" t="s">
        <v>1492</v>
      </c>
      <c r="C1497" s="6">
        <v>25975</v>
      </c>
      <c r="D1497" s="6">
        <v>25899</v>
      </c>
      <c r="E1497" s="6">
        <v>26240</v>
      </c>
      <c r="F1497" s="6">
        <v>26245</v>
      </c>
      <c r="G1497" s="6">
        <v>26427</v>
      </c>
      <c r="H1497" s="6">
        <v>26701</v>
      </c>
      <c r="I1497" s="1" t="str">
        <f t="shared" si="46"/>
        <v xml:space="preserve"> New Jersey</v>
      </c>
      <c r="J1497" s="1" t="str">
        <f t="shared" si="47"/>
        <v>Ridgewood village</v>
      </c>
      <c r="K1497" s="1">
        <f>IF(COUNTIF($I$5:I1497,I1497)=1,1,0)</f>
        <v>0</v>
      </c>
    </row>
    <row r="1498" spans="1:11" x14ac:dyDescent="0.2">
      <c r="A1498" s="9">
        <v>1494</v>
      </c>
      <c r="B1498" s="5" t="s">
        <v>1493</v>
      </c>
      <c r="C1498" s="6">
        <v>26183</v>
      </c>
      <c r="D1498" s="6">
        <v>26210</v>
      </c>
      <c r="E1498" s="6">
        <v>26300</v>
      </c>
      <c r="F1498" s="6">
        <v>26232</v>
      </c>
      <c r="G1498" s="6">
        <v>26366</v>
      </c>
      <c r="H1498" s="6">
        <v>26690</v>
      </c>
      <c r="I1498" s="1" t="str">
        <f t="shared" si="46"/>
        <v xml:space="preserve"> Minnesota</v>
      </c>
      <c r="J1498" s="1" t="str">
        <f t="shared" si="47"/>
        <v>Austin city</v>
      </c>
      <c r="K1498" s="1">
        <f>IF(COUNTIF($I$5:I1498,I1498)=1,1,0)</f>
        <v>0</v>
      </c>
    </row>
    <row r="1499" spans="1:11" x14ac:dyDescent="0.2">
      <c r="A1499" s="9">
        <v>1495</v>
      </c>
      <c r="B1499" s="5" t="s">
        <v>1494</v>
      </c>
      <c r="C1499" s="6">
        <v>26780</v>
      </c>
      <c r="D1499" s="6">
        <v>26799</v>
      </c>
      <c r="E1499" s="6">
        <v>26756</v>
      </c>
      <c r="F1499" s="6">
        <v>26659</v>
      </c>
      <c r="G1499" s="6">
        <v>26627</v>
      </c>
      <c r="H1499" s="6">
        <v>26649</v>
      </c>
      <c r="I1499" s="1" t="str">
        <f t="shared" si="46"/>
        <v xml:space="preserve"> California</v>
      </c>
      <c r="J1499" s="1" t="str">
        <f t="shared" si="47"/>
        <v>Sanger city</v>
      </c>
      <c r="K1499" s="1">
        <f>IF(COUNTIF($I$5:I1499,I1499)=1,1,0)</f>
        <v>0</v>
      </c>
    </row>
    <row r="1500" spans="1:11" x14ac:dyDescent="0.2">
      <c r="A1500" s="9">
        <v>1496</v>
      </c>
      <c r="B1500" s="5" t="s">
        <v>1495</v>
      </c>
      <c r="C1500" s="6">
        <v>26199</v>
      </c>
      <c r="D1500" s="6">
        <v>26525</v>
      </c>
      <c r="E1500" s="6">
        <v>26251</v>
      </c>
      <c r="F1500" s="6">
        <v>26626</v>
      </c>
      <c r="G1500" s="6">
        <v>26514</v>
      </c>
      <c r="H1500" s="6">
        <v>26630</v>
      </c>
      <c r="I1500" s="1" t="str">
        <f t="shared" si="46"/>
        <v xml:space="preserve"> Missouri</v>
      </c>
      <c r="J1500" s="1" t="str">
        <f t="shared" si="47"/>
        <v>Grandview city</v>
      </c>
      <c r="K1500" s="1">
        <f>IF(COUNTIF($I$5:I1500,I1500)=1,1,0)</f>
        <v>0</v>
      </c>
    </row>
    <row r="1501" spans="1:11" x14ac:dyDescent="0.2">
      <c r="A1501" s="9">
        <v>1497</v>
      </c>
      <c r="B1501" s="5" t="s">
        <v>1496</v>
      </c>
      <c r="C1501" s="6">
        <v>26424</v>
      </c>
      <c r="D1501" s="6">
        <v>26412</v>
      </c>
      <c r="E1501" s="6">
        <v>26445</v>
      </c>
      <c r="F1501" s="6">
        <v>26522</v>
      </c>
      <c r="G1501" s="6">
        <v>26570</v>
      </c>
      <c r="H1501" s="6">
        <v>26626</v>
      </c>
      <c r="I1501" s="1" t="str">
        <f t="shared" si="46"/>
        <v xml:space="preserve"> Minnesota</v>
      </c>
      <c r="J1501" s="1" t="str">
        <f t="shared" si="47"/>
        <v>Owatonna city</v>
      </c>
      <c r="K1501" s="1">
        <f>IF(COUNTIF($I$5:I1501,I1501)=1,1,0)</f>
        <v>0</v>
      </c>
    </row>
    <row r="1502" spans="1:11" x14ac:dyDescent="0.2">
      <c r="A1502" s="9">
        <v>1498</v>
      </c>
      <c r="B1502" s="5" t="s">
        <v>1497</v>
      </c>
      <c r="C1502" s="6">
        <v>26748</v>
      </c>
      <c r="D1502" s="6">
        <v>26795</v>
      </c>
      <c r="E1502" s="6">
        <v>26503</v>
      </c>
      <c r="F1502" s="6">
        <v>26766</v>
      </c>
      <c r="G1502" s="6">
        <v>26704</v>
      </c>
      <c r="H1502" s="6">
        <v>26620</v>
      </c>
      <c r="I1502" s="1" t="str">
        <f t="shared" si="46"/>
        <v xml:space="preserve"> Wisconsin</v>
      </c>
      <c r="J1502" s="1" t="str">
        <f t="shared" si="47"/>
        <v>Superior city</v>
      </c>
      <c r="K1502" s="1">
        <f>IF(COUNTIF($I$5:I1502,I1502)=1,1,0)</f>
        <v>0</v>
      </c>
    </row>
    <row r="1503" spans="1:11" x14ac:dyDescent="0.2">
      <c r="A1503" s="9">
        <v>1499</v>
      </c>
      <c r="B1503" s="5" t="s">
        <v>1498</v>
      </c>
      <c r="C1503" s="6">
        <v>28092</v>
      </c>
      <c r="D1503" s="6">
        <v>27969</v>
      </c>
      <c r="E1503" s="6">
        <v>27514</v>
      </c>
      <c r="F1503" s="6">
        <v>27074</v>
      </c>
      <c r="G1503" s="6">
        <v>26775</v>
      </c>
      <c r="H1503" s="6">
        <v>26617</v>
      </c>
      <c r="I1503" s="1" t="str">
        <f t="shared" si="46"/>
        <v xml:space="preserve"> Mississippi</v>
      </c>
      <c r="J1503" s="1" t="str">
        <f t="shared" si="47"/>
        <v>Clinton city</v>
      </c>
      <c r="K1503" s="1">
        <f>IF(COUNTIF($I$5:I1503,I1503)=1,1,0)</f>
        <v>0</v>
      </c>
    </row>
    <row r="1504" spans="1:11" x14ac:dyDescent="0.2">
      <c r="A1504" s="9">
        <v>1500</v>
      </c>
      <c r="B1504" s="5" t="s">
        <v>1499</v>
      </c>
      <c r="C1504" s="6">
        <v>25660</v>
      </c>
      <c r="D1504" s="6">
        <v>25715</v>
      </c>
      <c r="E1504" s="6">
        <v>25776</v>
      </c>
      <c r="F1504" s="6">
        <v>25927</v>
      </c>
      <c r="G1504" s="6">
        <v>26323</v>
      </c>
      <c r="H1504" s="6">
        <v>26604</v>
      </c>
      <c r="I1504" s="1" t="str">
        <f t="shared" si="46"/>
        <v xml:space="preserve"> Kansas</v>
      </c>
      <c r="J1504" s="1" t="str">
        <f t="shared" si="47"/>
        <v>Derby city</v>
      </c>
      <c r="K1504" s="1">
        <f>IF(COUNTIF($I$5:I1504,I1504)=1,1,0)</f>
        <v>0</v>
      </c>
    </row>
    <row r="1505" spans="1:11" x14ac:dyDescent="0.2">
      <c r="A1505" s="9">
        <v>1501</v>
      </c>
      <c r="B1505" s="5" t="s">
        <v>1500</v>
      </c>
      <c r="C1505" s="6">
        <v>27373</v>
      </c>
      <c r="D1505" s="6">
        <v>27373</v>
      </c>
      <c r="E1505" s="6">
        <v>27165</v>
      </c>
      <c r="F1505" s="6">
        <v>26909</v>
      </c>
      <c r="G1505" s="6">
        <v>26659</v>
      </c>
      <c r="H1505" s="6">
        <v>26597</v>
      </c>
      <c r="I1505" s="1" t="str">
        <f t="shared" si="46"/>
        <v xml:space="preserve"> Oregon</v>
      </c>
      <c r="J1505" s="1" t="str">
        <f t="shared" si="47"/>
        <v>West Linn city</v>
      </c>
      <c r="K1505" s="1">
        <f>IF(COUNTIF($I$5:I1505,I1505)=1,1,0)</f>
        <v>0</v>
      </c>
    </row>
    <row r="1506" spans="1:11" x14ac:dyDescent="0.2">
      <c r="A1506" s="9">
        <v>1502</v>
      </c>
      <c r="B1506" s="5" t="s">
        <v>1501</v>
      </c>
      <c r="C1506" s="6">
        <v>25643</v>
      </c>
      <c r="D1506" s="6">
        <v>25659</v>
      </c>
      <c r="E1506" s="6">
        <v>25669</v>
      </c>
      <c r="F1506" s="6">
        <v>25798</v>
      </c>
      <c r="G1506" s="6">
        <v>26160</v>
      </c>
      <c r="H1506" s="6">
        <v>26589</v>
      </c>
      <c r="I1506" s="1" t="str">
        <f t="shared" si="46"/>
        <v xml:space="preserve"> California</v>
      </c>
      <c r="J1506" s="1" t="str">
        <f t="shared" si="47"/>
        <v>Galt city</v>
      </c>
      <c r="K1506" s="1">
        <f>IF(COUNTIF($I$5:I1506,I1506)=1,1,0)</f>
        <v>0</v>
      </c>
    </row>
    <row r="1507" spans="1:11" x14ac:dyDescent="0.2">
      <c r="A1507" s="9">
        <v>1503</v>
      </c>
      <c r="B1507" s="5" t="s">
        <v>1502</v>
      </c>
      <c r="C1507" s="6">
        <v>26733</v>
      </c>
      <c r="D1507" s="6">
        <v>26741</v>
      </c>
      <c r="E1507" s="6">
        <v>26759</v>
      </c>
      <c r="F1507" s="6">
        <v>26541</v>
      </c>
      <c r="G1507" s="6">
        <v>26570</v>
      </c>
      <c r="H1507" s="6">
        <v>26574</v>
      </c>
      <c r="I1507" s="1" t="str">
        <f t="shared" si="46"/>
        <v xml:space="preserve"> Mississippi</v>
      </c>
      <c r="J1507" s="1" t="str">
        <f t="shared" si="47"/>
        <v>Horn Lake city</v>
      </c>
      <c r="K1507" s="1">
        <f>IF(COUNTIF($I$5:I1507,I1507)=1,1,0)</f>
        <v>0</v>
      </c>
    </row>
    <row r="1508" spans="1:11" x14ac:dyDescent="0.2">
      <c r="A1508" s="9">
        <v>1504</v>
      </c>
      <c r="B1508" s="5" t="s">
        <v>1503</v>
      </c>
      <c r="C1508" s="6">
        <v>28065</v>
      </c>
      <c r="D1508" s="6">
        <v>28060</v>
      </c>
      <c r="E1508" s="6">
        <v>27212</v>
      </c>
      <c r="F1508" s="6">
        <v>28008</v>
      </c>
      <c r="G1508" s="6">
        <v>26861</v>
      </c>
      <c r="H1508" s="6">
        <v>26563</v>
      </c>
      <c r="I1508" s="1" t="str">
        <f t="shared" si="46"/>
        <v xml:space="preserve"> California</v>
      </c>
      <c r="J1508" s="1" t="str">
        <f t="shared" si="47"/>
        <v>Twentynine Palms city</v>
      </c>
      <c r="K1508" s="1">
        <f>IF(COUNTIF($I$5:I1508,I1508)=1,1,0)</f>
        <v>0</v>
      </c>
    </row>
    <row r="1509" spans="1:11" x14ac:dyDescent="0.2">
      <c r="A1509" s="9">
        <v>1505</v>
      </c>
      <c r="B1509" s="5" t="s">
        <v>1504</v>
      </c>
      <c r="C1509" s="6">
        <v>26765</v>
      </c>
      <c r="D1509" s="6">
        <v>26708</v>
      </c>
      <c r="E1509" s="6">
        <v>26034</v>
      </c>
      <c r="F1509" s="6">
        <v>26114</v>
      </c>
      <c r="G1509" s="6">
        <v>26402</v>
      </c>
      <c r="H1509" s="6">
        <v>26561</v>
      </c>
      <c r="I1509" s="1" t="str">
        <f t="shared" si="46"/>
        <v xml:space="preserve"> Utah</v>
      </c>
      <c r="J1509" s="1" t="str">
        <f t="shared" si="47"/>
        <v>South Salt Lake city</v>
      </c>
      <c r="K1509" s="1">
        <f>IF(COUNTIF($I$5:I1509,I1509)=1,1,0)</f>
        <v>0</v>
      </c>
    </row>
    <row r="1510" spans="1:11" x14ac:dyDescent="0.2">
      <c r="A1510" s="9">
        <v>1506</v>
      </c>
      <c r="B1510" s="5" t="s">
        <v>1505</v>
      </c>
      <c r="C1510" s="6">
        <v>26505</v>
      </c>
      <c r="D1510" s="6">
        <v>26511</v>
      </c>
      <c r="E1510" s="6">
        <v>26548</v>
      </c>
      <c r="F1510" s="6">
        <v>26457</v>
      </c>
      <c r="G1510" s="6">
        <v>26546</v>
      </c>
      <c r="H1510" s="6">
        <v>26555</v>
      </c>
      <c r="I1510" s="1" t="str">
        <f t="shared" si="46"/>
        <v xml:space="preserve"> Illinois</v>
      </c>
      <c r="J1510" s="1" t="str">
        <f t="shared" si="47"/>
        <v>Batavia city</v>
      </c>
      <c r="K1510" s="1">
        <f>IF(COUNTIF($I$5:I1510,I1510)=1,1,0)</f>
        <v>0</v>
      </c>
    </row>
    <row r="1511" spans="1:11" x14ac:dyDescent="0.2">
      <c r="A1511" s="9">
        <v>1507</v>
      </c>
      <c r="B1511" s="5" t="s">
        <v>1506</v>
      </c>
      <c r="C1511" s="6">
        <v>27480</v>
      </c>
      <c r="D1511" s="6">
        <v>27371</v>
      </c>
      <c r="E1511" s="6">
        <v>26863</v>
      </c>
      <c r="F1511" s="6">
        <v>26496</v>
      </c>
      <c r="G1511" s="6">
        <v>26388</v>
      </c>
      <c r="H1511" s="6">
        <v>26533</v>
      </c>
      <c r="I1511" s="1" t="str">
        <f t="shared" si="46"/>
        <v xml:space="preserve"> Illinois</v>
      </c>
      <c r="J1511" s="1" t="str">
        <f t="shared" si="47"/>
        <v>Chicago Heights city</v>
      </c>
      <c r="K1511" s="1">
        <f>IF(COUNTIF($I$5:I1511,I1511)=1,1,0)</f>
        <v>0</v>
      </c>
    </row>
    <row r="1512" spans="1:11" x14ac:dyDescent="0.2">
      <c r="A1512" s="9">
        <v>1508</v>
      </c>
      <c r="B1512" s="5" t="s">
        <v>1507</v>
      </c>
      <c r="C1512" s="6">
        <v>26019</v>
      </c>
      <c r="D1512" s="6">
        <v>26117</v>
      </c>
      <c r="E1512" s="6">
        <v>26181</v>
      </c>
      <c r="F1512" s="6">
        <v>26248</v>
      </c>
      <c r="G1512" s="6">
        <v>26433</v>
      </c>
      <c r="H1512" s="6">
        <v>26499</v>
      </c>
      <c r="I1512" s="1" t="str">
        <f t="shared" si="46"/>
        <v xml:space="preserve"> California</v>
      </c>
      <c r="J1512" s="1" t="str">
        <f t="shared" si="47"/>
        <v>Hercules city</v>
      </c>
      <c r="K1512" s="1">
        <f>IF(COUNTIF($I$5:I1512,I1512)=1,1,0)</f>
        <v>0</v>
      </c>
    </row>
    <row r="1513" spans="1:11" x14ac:dyDescent="0.2">
      <c r="A1513" s="9">
        <v>1509</v>
      </c>
      <c r="B1513" s="5" t="s">
        <v>1508</v>
      </c>
      <c r="C1513" s="6">
        <v>27135</v>
      </c>
      <c r="D1513" s="6">
        <v>27107</v>
      </c>
      <c r="E1513" s="6">
        <v>26918</v>
      </c>
      <c r="F1513" s="6">
        <v>26668</v>
      </c>
      <c r="G1513" s="6">
        <v>26504</v>
      </c>
      <c r="H1513" s="6">
        <v>26477</v>
      </c>
      <c r="I1513" s="1" t="str">
        <f t="shared" si="46"/>
        <v xml:space="preserve"> California</v>
      </c>
      <c r="J1513" s="1" t="str">
        <f t="shared" si="47"/>
        <v>Benicia city</v>
      </c>
      <c r="K1513" s="1">
        <f>IF(COUNTIF($I$5:I1513,I1513)=1,1,0)</f>
        <v>0</v>
      </c>
    </row>
    <row r="1514" spans="1:11" x14ac:dyDescent="0.2">
      <c r="A1514" s="9">
        <v>1510</v>
      </c>
      <c r="B1514" s="5" t="s">
        <v>1509</v>
      </c>
      <c r="C1514" s="6">
        <v>25681</v>
      </c>
      <c r="D1514" s="6">
        <v>25707</v>
      </c>
      <c r="E1514" s="6">
        <v>24598</v>
      </c>
      <c r="F1514" s="6">
        <v>25878</v>
      </c>
      <c r="G1514" s="6">
        <v>26235</v>
      </c>
      <c r="H1514" s="6">
        <v>26465</v>
      </c>
      <c r="I1514" s="1" t="str">
        <f t="shared" si="46"/>
        <v xml:space="preserve"> Wisconsin</v>
      </c>
      <c r="J1514" s="1" t="str">
        <f t="shared" si="47"/>
        <v>Stevens Point city</v>
      </c>
      <c r="K1514" s="1">
        <f>IF(COUNTIF($I$5:I1514,I1514)=1,1,0)</f>
        <v>0</v>
      </c>
    </row>
    <row r="1515" spans="1:11" x14ac:dyDescent="0.2">
      <c r="A1515" s="9">
        <v>1511</v>
      </c>
      <c r="B1515" s="5" t="s">
        <v>1510</v>
      </c>
      <c r="C1515" s="6">
        <v>26808</v>
      </c>
      <c r="D1515" s="6">
        <v>26783</v>
      </c>
      <c r="E1515" s="6">
        <v>26649</v>
      </c>
      <c r="F1515" s="6">
        <v>26461</v>
      </c>
      <c r="G1515" s="6">
        <v>26421</v>
      </c>
      <c r="H1515" s="6">
        <v>26456</v>
      </c>
      <c r="I1515" s="1" t="str">
        <f t="shared" si="46"/>
        <v xml:space="preserve"> Pennsylvania</v>
      </c>
      <c r="J1515" s="1" t="str">
        <f t="shared" si="47"/>
        <v>Lebanon city</v>
      </c>
      <c r="K1515" s="1">
        <f>IF(COUNTIF($I$5:I1515,I1515)=1,1,0)</f>
        <v>0</v>
      </c>
    </row>
    <row r="1516" spans="1:11" x14ac:dyDescent="0.2">
      <c r="A1516" s="9">
        <v>1512</v>
      </c>
      <c r="B1516" s="5" t="s">
        <v>1511</v>
      </c>
      <c r="C1516" s="6">
        <v>24459</v>
      </c>
      <c r="D1516" s="6">
        <v>24542</v>
      </c>
      <c r="E1516" s="6">
        <v>25170</v>
      </c>
      <c r="F1516" s="6">
        <v>26376</v>
      </c>
      <c r="G1516" s="6">
        <v>26385</v>
      </c>
      <c r="H1516" s="6">
        <v>26446</v>
      </c>
      <c r="I1516" s="1" t="str">
        <f t="shared" si="46"/>
        <v xml:space="preserve"> Texas</v>
      </c>
      <c r="J1516" s="1" t="str">
        <f t="shared" si="47"/>
        <v>Denison city</v>
      </c>
      <c r="K1516" s="1">
        <f>IF(COUNTIF($I$5:I1516,I1516)=1,1,0)</f>
        <v>0</v>
      </c>
    </row>
    <row r="1517" spans="1:11" x14ac:dyDescent="0.2">
      <c r="A1517" s="9">
        <v>1513</v>
      </c>
      <c r="B1517" s="5" t="s">
        <v>1512</v>
      </c>
      <c r="C1517" s="6">
        <v>27161</v>
      </c>
      <c r="D1517" s="6">
        <v>27140</v>
      </c>
      <c r="E1517" s="6">
        <v>26945</v>
      </c>
      <c r="F1517" s="6">
        <v>26674</v>
      </c>
      <c r="G1517" s="6">
        <v>26495</v>
      </c>
      <c r="H1517" s="6">
        <v>26420</v>
      </c>
      <c r="I1517" s="1" t="str">
        <f t="shared" si="46"/>
        <v xml:space="preserve"> Pennsylvania</v>
      </c>
      <c r="J1517" s="1" t="str">
        <f t="shared" si="47"/>
        <v>Plum borough</v>
      </c>
      <c r="K1517" s="1">
        <f>IF(COUNTIF($I$5:I1517,I1517)=1,1,0)</f>
        <v>0</v>
      </c>
    </row>
    <row r="1518" spans="1:11" x14ac:dyDescent="0.2">
      <c r="A1518" s="9">
        <v>1514</v>
      </c>
      <c r="B1518" s="5" t="s">
        <v>1513</v>
      </c>
      <c r="C1518" s="6">
        <v>27388</v>
      </c>
      <c r="D1518" s="6">
        <v>27285</v>
      </c>
      <c r="E1518" s="6">
        <v>26958</v>
      </c>
      <c r="F1518" s="6">
        <v>26582</v>
      </c>
      <c r="G1518" s="6">
        <v>26402</v>
      </c>
      <c r="H1518" s="6">
        <v>26410</v>
      </c>
      <c r="I1518" s="1" t="str">
        <f t="shared" si="46"/>
        <v xml:space="preserve"> Michigan</v>
      </c>
      <c r="J1518" s="1" t="str">
        <f t="shared" si="47"/>
        <v>Garden City city</v>
      </c>
      <c r="K1518" s="1">
        <f>IF(COUNTIF($I$5:I1518,I1518)=1,1,0)</f>
        <v>0</v>
      </c>
    </row>
    <row r="1519" spans="1:11" x14ac:dyDescent="0.2">
      <c r="A1519" s="9">
        <v>1515</v>
      </c>
      <c r="B1519" s="5" t="s">
        <v>1514</v>
      </c>
      <c r="C1519" s="6">
        <v>25957</v>
      </c>
      <c r="D1519" s="6">
        <v>25944</v>
      </c>
      <c r="E1519" s="6">
        <v>25907</v>
      </c>
      <c r="F1519" s="6">
        <v>25798</v>
      </c>
      <c r="G1519" s="6">
        <v>25911</v>
      </c>
      <c r="H1519" s="6">
        <v>26409</v>
      </c>
      <c r="I1519" s="1" t="str">
        <f t="shared" si="46"/>
        <v xml:space="preserve"> California</v>
      </c>
      <c r="J1519" s="1" t="str">
        <f t="shared" si="47"/>
        <v>El Cerrito city</v>
      </c>
      <c r="K1519" s="1">
        <f>IF(COUNTIF($I$5:I1519,I1519)=1,1,0)</f>
        <v>0</v>
      </c>
    </row>
    <row r="1520" spans="1:11" x14ac:dyDescent="0.2">
      <c r="A1520" s="9">
        <v>1516</v>
      </c>
      <c r="B1520" s="5" t="s">
        <v>1515</v>
      </c>
      <c r="C1520" s="6">
        <v>24430</v>
      </c>
      <c r="D1520" s="6">
        <v>24486</v>
      </c>
      <c r="E1520" s="6">
        <v>24816</v>
      </c>
      <c r="F1520" s="6">
        <v>25237</v>
      </c>
      <c r="G1520" s="6">
        <v>25874</v>
      </c>
      <c r="H1520" s="6">
        <v>26395</v>
      </c>
      <c r="I1520" s="1" t="str">
        <f t="shared" si="46"/>
        <v xml:space="preserve"> South Carolina</v>
      </c>
      <c r="J1520" s="1" t="str">
        <f t="shared" si="47"/>
        <v>North Augusta city</v>
      </c>
      <c r="K1520" s="1">
        <f>IF(COUNTIF($I$5:I1520,I1520)=1,1,0)</f>
        <v>0</v>
      </c>
    </row>
    <row r="1521" spans="1:11" x14ac:dyDescent="0.2">
      <c r="A1521" s="9">
        <v>1517</v>
      </c>
      <c r="B1521" s="5" t="s">
        <v>1516</v>
      </c>
      <c r="C1521" s="6">
        <v>13561</v>
      </c>
      <c r="D1521" s="6">
        <v>13756</v>
      </c>
      <c r="E1521" s="6">
        <v>16030</v>
      </c>
      <c r="F1521" s="6">
        <v>19819</v>
      </c>
      <c r="G1521" s="6">
        <v>24242</v>
      </c>
      <c r="H1521" s="6">
        <v>26387</v>
      </c>
      <c r="I1521" s="1" t="str">
        <f t="shared" si="46"/>
        <v xml:space="preserve"> Texas</v>
      </c>
      <c r="J1521" s="1" t="str">
        <f t="shared" si="47"/>
        <v>Royse City city</v>
      </c>
      <c r="K1521" s="1">
        <f>IF(COUNTIF($I$5:I1521,I1521)=1,1,0)</f>
        <v>0</v>
      </c>
    </row>
    <row r="1522" spans="1:11" x14ac:dyDescent="0.2">
      <c r="A1522" s="9">
        <v>1518</v>
      </c>
      <c r="B1522" s="5" t="s">
        <v>1517</v>
      </c>
      <c r="C1522" s="6">
        <v>25751</v>
      </c>
      <c r="D1522" s="6">
        <v>25809</v>
      </c>
      <c r="E1522" s="6">
        <v>25690</v>
      </c>
      <c r="F1522" s="6">
        <v>25942</v>
      </c>
      <c r="G1522" s="6">
        <v>25936</v>
      </c>
      <c r="H1522" s="6">
        <v>26361</v>
      </c>
      <c r="I1522" s="1" t="str">
        <f t="shared" si="46"/>
        <v xml:space="preserve"> Virginia</v>
      </c>
      <c r="J1522" s="1" t="str">
        <f t="shared" si="47"/>
        <v>Staunton city</v>
      </c>
      <c r="K1522" s="1">
        <f>IF(COUNTIF($I$5:I1522,I1522)=1,1,0)</f>
        <v>0</v>
      </c>
    </row>
    <row r="1523" spans="1:11" x14ac:dyDescent="0.2">
      <c r="A1523" s="9">
        <v>1519</v>
      </c>
      <c r="B1523" s="5" t="s">
        <v>1518</v>
      </c>
      <c r="C1523" s="6">
        <v>26200</v>
      </c>
      <c r="D1523" s="6">
        <v>26123</v>
      </c>
      <c r="E1523" s="6">
        <v>26006</v>
      </c>
      <c r="F1523" s="6">
        <v>25888</v>
      </c>
      <c r="G1523" s="6">
        <v>26070</v>
      </c>
      <c r="H1523" s="6">
        <v>26358</v>
      </c>
      <c r="I1523" s="1" t="str">
        <f t="shared" si="46"/>
        <v xml:space="preserve"> New Jersey</v>
      </c>
      <c r="J1523" s="1" t="str">
        <f t="shared" si="47"/>
        <v>Lodi borough</v>
      </c>
      <c r="K1523" s="1">
        <f>IF(COUNTIF($I$5:I1523,I1523)=1,1,0)</f>
        <v>0</v>
      </c>
    </row>
    <row r="1524" spans="1:11" x14ac:dyDescent="0.2">
      <c r="A1524" s="9">
        <v>1520</v>
      </c>
      <c r="B1524" s="5" t="s">
        <v>1519</v>
      </c>
      <c r="C1524" s="6">
        <v>23264</v>
      </c>
      <c r="D1524" s="6">
        <v>23449</v>
      </c>
      <c r="E1524" s="6">
        <v>24172</v>
      </c>
      <c r="F1524" s="6">
        <v>24754</v>
      </c>
      <c r="G1524" s="6">
        <v>25421</v>
      </c>
      <c r="H1524" s="6">
        <v>26352</v>
      </c>
      <c r="I1524" s="1" t="str">
        <f t="shared" si="46"/>
        <v xml:space="preserve"> Missouri</v>
      </c>
      <c r="J1524" s="1" t="str">
        <f t="shared" si="47"/>
        <v>Nixa city</v>
      </c>
      <c r="K1524" s="1">
        <f>IF(COUNTIF($I$5:I1524,I1524)=1,1,0)</f>
        <v>0</v>
      </c>
    </row>
    <row r="1525" spans="1:11" x14ac:dyDescent="0.2">
      <c r="A1525" s="9">
        <v>1521</v>
      </c>
      <c r="B1525" s="5" t="s">
        <v>1520</v>
      </c>
      <c r="C1525" s="6">
        <v>26918</v>
      </c>
      <c r="D1525" s="6">
        <v>26692</v>
      </c>
      <c r="E1525" s="6">
        <v>26632</v>
      </c>
      <c r="F1525" s="6">
        <v>25977</v>
      </c>
      <c r="G1525" s="6">
        <v>26252</v>
      </c>
      <c r="H1525" s="6">
        <v>26345</v>
      </c>
      <c r="I1525" s="1" t="str">
        <f t="shared" si="46"/>
        <v xml:space="preserve"> California</v>
      </c>
      <c r="J1525" s="1" t="str">
        <f t="shared" si="47"/>
        <v>Soledad city</v>
      </c>
      <c r="K1525" s="1">
        <f>IF(COUNTIF($I$5:I1525,I1525)=1,1,0)</f>
        <v>0</v>
      </c>
    </row>
    <row r="1526" spans="1:11" x14ac:dyDescent="0.2">
      <c r="A1526" s="9">
        <v>1522</v>
      </c>
      <c r="B1526" s="5" t="s">
        <v>1521</v>
      </c>
      <c r="C1526" s="6">
        <v>25202</v>
      </c>
      <c r="D1526" s="6">
        <v>25279</v>
      </c>
      <c r="E1526" s="6">
        <v>25543</v>
      </c>
      <c r="F1526" s="6">
        <v>25608</v>
      </c>
      <c r="G1526" s="6">
        <v>25965</v>
      </c>
      <c r="H1526" s="6">
        <v>26342</v>
      </c>
      <c r="I1526" s="1" t="str">
        <f t="shared" si="46"/>
        <v xml:space="preserve"> Ohio</v>
      </c>
      <c r="J1526" s="1" t="str">
        <f t="shared" si="47"/>
        <v>Avon Lake city</v>
      </c>
      <c r="K1526" s="1">
        <f>IF(COUNTIF($I$5:I1526,I1526)=1,1,0)</f>
        <v>0</v>
      </c>
    </row>
    <row r="1527" spans="1:11" x14ac:dyDescent="0.2">
      <c r="A1527" s="9">
        <v>1523</v>
      </c>
      <c r="B1527" s="5" t="s">
        <v>1522</v>
      </c>
      <c r="C1527" s="6">
        <v>24147</v>
      </c>
      <c r="D1527" s="6">
        <v>24179</v>
      </c>
      <c r="E1527" s="6">
        <v>24361</v>
      </c>
      <c r="F1527" s="6">
        <v>24825</v>
      </c>
      <c r="G1527" s="6">
        <v>25426</v>
      </c>
      <c r="H1527" s="6">
        <v>26340</v>
      </c>
      <c r="I1527" s="1" t="str">
        <f t="shared" si="46"/>
        <v xml:space="preserve"> Virginia</v>
      </c>
      <c r="J1527" s="1" t="str">
        <f t="shared" si="47"/>
        <v>Fairfax city</v>
      </c>
      <c r="K1527" s="1">
        <f>IF(COUNTIF($I$5:I1527,I1527)=1,1,0)</f>
        <v>0</v>
      </c>
    </row>
    <row r="1528" spans="1:11" x14ac:dyDescent="0.2">
      <c r="A1528" s="9">
        <v>1524</v>
      </c>
      <c r="B1528" s="5" t="s">
        <v>1523</v>
      </c>
      <c r="C1528" s="6">
        <v>24194</v>
      </c>
      <c r="D1528" s="6">
        <v>24183</v>
      </c>
      <c r="E1528" s="6">
        <v>24685</v>
      </c>
      <c r="F1528" s="6">
        <v>25110</v>
      </c>
      <c r="G1528" s="6">
        <v>25763</v>
      </c>
      <c r="H1528" s="6">
        <v>26311</v>
      </c>
      <c r="I1528" s="1" t="str">
        <f t="shared" si="46"/>
        <v xml:space="preserve"> Ohio</v>
      </c>
      <c r="J1528" s="1" t="str">
        <f t="shared" si="47"/>
        <v>Centerville city</v>
      </c>
      <c r="K1528" s="1">
        <f>IF(COUNTIF($I$5:I1528,I1528)=1,1,0)</f>
        <v>0</v>
      </c>
    </row>
    <row r="1529" spans="1:11" x14ac:dyDescent="0.2">
      <c r="A1529" s="9">
        <v>1525</v>
      </c>
      <c r="B1529" s="5" t="s">
        <v>1524</v>
      </c>
      <c r="C1529" s="6">
        <v>23461</v>
      </c>
      <c r="D1529" s="6">
        <v>23552</v>
      </c>
      <c r="E1529" s="6">
        <v>24147</v>
      </c>
      <c r="F1529" s="6">
        <v>24780</v>
      </c>
      <c r="G1529" s="6">
        <v>25906</v>
      </c>
      <c r="H1529" s="6">
        <v>26268</v>
      </c>
      <c r="I1529" s="1" t="str">
        <f t="shared" si="46"/>
        <v xml:space="preserve"> Indiana</v>
      </c>
      <c r="J1529" s="1" t="str">
        <f t="shared" si="47"/>
        <v>Greenfield city</v>
      </c>
      <c r="K1529" s="1">
        <f>IF(COUNTIF($I$5:I1529,I1529)=1,1,0)</f>
        <v>0</v>
      </c>
    </row>
    <row r="1530" spans="1:11" x14ac:dyDescent="0.2">
      <c r="A1530" s="9">
        <v>1526</v>
      </c>
      <c r="B1530" s="5" t="s">
        <v>1525</v>
      </c>
      <c r="C1530" s="6">
        <v>26516</v>
      </c>
      <c r="D1530" s="6">
        <v>26312</v>
      </c>
      <c r="E1530" s="6">
        <v>26428</v>
      </c>
      <c r="F1530" s="6">
        <v>26119</v>
      </c>
      <c r="G1530" s="6">
        <v>26176</v>
      </c>
      <c r="H1530" s="6">
        <v>26255</v>
      </c>
      <c r="I1530" s="1" t="str">
        <f t="shared" si="46"/>
        <v xml:space="preserve"> New York</v>
      </c>
      <c r="J1530" s="1" t="str">
        <f t="shared" si="47"/>
        <v>Elmira city</v>
      </c>
      <c r="K1530" s="1">
        <f>IF(COUNTIF($I$5:I1530,I1530)=1,1,0)</f>
        <v>0</v>
      </c>
    </row>
    <row r="1531" spans="1:11" x14ac:dyDescent="0.2">
      <c r="A1531" s="9">
        <v>1527</v>
      </c>
      <c r="B1531" s="5" t="s">
        <v>1526</v>
      </c>
      <c r="C1531" s="6">
        <v>13901</v>
      </c>
      <c r="D1531" s="6">
        <v>14336</v>
      </c>
      <c r="E1531" s="6">
        <v>16958</v>
      </c>
      <c r="F1531" s="6">
        <v>19407</v>
      </c>
      <c r="G1531" s="6">
        <v>23812</v>
      </c>
      <c r="H1531" s="6">
        <v>26194</v>
      </c>
      <c r="I1531" s="1" t="str">
        <f t="shared" si="46"/>
        <v xml:space="preserve"> Texas</v>
      </c>
      <c r="J1531" s="1" t="str">
        <f t="shared" si="47"/>
        <v>Melissa city</v>
      </c>
      <c r="K1531" s="1">
        <f>IF(COUNTIF($I$5:I1531,I1531)=1,1,0)</f>
        <v>0</v>
      </c>
    </row>
    <row r="1532" spans="1:11" x14ac:dyDescent="0.2">
      <c r="A1532" s="9">
        <v>1528</v>
      </c>
      <c r="B1532" s="5" t="s">
        <v>1527</v>
      </c>
      <c r="C1532" s="6">
        <v>25703</v>
      </c>
      <c r="D1532" s="6">
        <v>25646</v>
      </c>
      <c r="E1532" s="6">
        <v>25645</v>
      </c>
      <c r="F1532" s="6">
        <v>25614</v>
      </c>
      <c r="G1532" s="6">
        <v>25817</v>
      </c>
      <c r="H1532" s="6">
        <v>26183</v>
      </c>
      <c r="I1532" s="1" t="str">
        <f t="shared" si="46"/>
        <v xml:space="preserve"> New Jersey</v>
      </c>
      <c r="J1532" s="1" t="str">
        <f t="shared" si="47"/>
        <v>Cliffside Park borough</v>
      </c>
      <c r="K1532" s="1">
        <f>IF(COUNTIF($I$5:I1532,I1532)=1,1,0)</f>
        <v>0</v>
      </c>
    </row>
    <row r="1533" spans="1:11" x14ac:dyDescent="0.2">
      <c r="A1533" s="9">
        <v>1529</v>
      </c>
      <c r="B1533" s="5" t="s">
        <v>1528</v>
      </c>
      <c r="C1533" s="6">
        <v>26001</v>
      </c>
      <c r="D1533" s="6">
        <v>25984</v>
      </c>
      <c r="E1533" s="6">
        <v>26013</v>
      </c>
      <c r="F1533" s="6">
        <v>25877</v>
      </c>
      <c r="G1533" s="6">
        <v>26079</v>
      </c>
      <c r="H1533" s="6">
        <v>26173</v>
      </c>
      <c r="I1533" s="1" t="str">
        <f t="shared" si="46"/>
        <v xml:space="preserve"> Minnesota</v>
      </c>
      <c r="J1533" s="1" t="str">
        <f t="shared" si="47"/>
        <v>Winona city</v>
      </c>
      <c r="K1533" s="1">
        <f>IF(COUNTIF($I$5:I1533,I1533)=1,1,0)</f>
        <v>0</v>
      </c>
    </row>
    <row r="1534" spans="1:11" x14ac:dyDescent="0.2">
      <c r="A1534" s="9">
        <v>1530</v>
      </c>
      <c r="B1534" s="5" t="s">
        <v>1529</v>
      </c>
      <c r="C1534" s="6">
        <v>25140</v>
      </c>
      <c r="D1534" s="6">
        <v>25153</v>
      </c>
      <c r="E1534" s="6">
        <v>25617</v>
      </c>
      <c r="F1534" s="6">
        <v>25956</v>
      </c>
      <c r="G1534" s="6">
        <v>26031</v>
      </c>
      <c r="H1534" s="6">
        <v>26168</v>
      </c>
      <c r="I1534" s="1" t="str">
        <f t="shared" si="46"/>
        <v xml:space="preserve"> Florida</v>
      </c>
      <c r="J1534" s="1" t="str">
        <f t="shared" si="47"/>
        <v>Tarpon Springs city</v>
      </c>
      <c r="K1534" s="1">
        <f>IF(COUNTIF($I$5:I1534,I1534)=1,1,0)</f>
        <v>0</v>
      </c>
    </row>
    <row r="1535" spans="1:11" x14ac:dyDescent="0.2">
      <c r="A1535" s="9">
        <v>1531</v>
      </c>
      <c r="B1535" s="5" t="s">
        <v>1530</v>
      </c>
      <c r="C1535" s="6">
        <v>24527</v>
      </c>
      <c r="D1535" s="6">
        <v>24571</v>
      </c>
      <c r="E1535" s="6">
        <v>24582</v>
      </c>
      <c r="F1535" s="6">
        <v>25676</v>
      </c>
      <c r="G1535" s="6">
        <v>25849</v>
      </c>
      <c r="H1535" s="6">
        <v>26163</v>
      </c>
      <c r="I1535" s="1" t="str">
        <f t="shared" si="46"/>
        <v xml:space="preserve"> Utah</v>
      </c>
      <c r="J1535" s="1" t="str">
        <f t="shared" si="47"/>
        <v>Farmington city</v>
      </c>
      <c r="K1535" s="1">
        <f>IF(COUNTIF($I$5:I1535,I1535)=1,1,0)</f>
        <v>0</v>
      </c>
    </row>
    <row r="1536" spans="1:11" x14ac:dyDescent="0.2">
      <c r="A1536" s="9">
        <v>1532</v>
      </c>
      <c r="B1536" s="5" t="s">
        <v>1531</v>
      </c>
      <c r="C1536" s="6">
        <v>25908</v>
      </c>
      <c r="D1536" s="6">
        <v>25889</v>
      </c>
      <c r="E1536" s="6">
        <v>25947</v>
      </c>
      <c r="F1536" s="6">
        <v>25976</v>
      </c>
      <c r="G1536" s="6">
        <v>26231</v>
      </c>
      <c r="H1536" s="6">
        <v>26162</v>
      </c>
      <c r="I1536" s="1" t="str">
        <f t="shared" si="46"/>
        <v xml:space="preserve"> Nebraska</v>
      </c>
      <c r="J1536" s="1" t="str">
        <f t="shared" si="47"/>
        <v>Norfolk city</v>
      </c>
      <c r="K1536" s="1">
        <f>IF(COUNTIF($I$5:I1536,I1536)=1,1,0)</f>
        <v>0</v>
      </c>
    </row>
    <row r="1537" spans="1:11" x14ac:dyDescent="0.2">
      <c r="A1537" s="9">
        <v>1533</v>
      </c>
      <c r="B1537" s="5" t="s">
        <v>1532</v>
      </c>
      <c r="C1537" s="6">
        <v>25333</v>
      </c>
      <c r="D1537" s="6">
        <v>25382</v>
      </c>
      <c r="E1537" s="6">
        <v>25659</v>
      </c>
      <c r="F1537" s="6">
        <v>25763</v>
      </c>
      <c r="G1537" s="6">
        <v>25989</v>
      </c>
      <c r="H1537" s="6">
        <v>26158</v>
      </c>
      <c r="I1537" s="1" t="str">
        <f t="shared" si="46"/>
        <v xml:space="preserve"> Indiana</v>
      </c>
      <c r="J1537" s="1" t="str">
        <f t="shared" si="47"/>
        <v>Franklin city</v>
      </c>
      <c r="K1537" s="1">
        <f>IF(COUNTIF($I$5:I1537,I1537)=1,1,0)</f>
        <v>0</v>
      </c>
    </row>
    <row r="1538" spans="1:11" x14ac:dyDescent="0.2">
      <c r="A1538" s="9">
        <v>1534</v>
      </c>
      <c r="B1538" s="5" t="s">
        <v>1533</v>
      </c>
      <c r="C1538" s="6">
        <v>25220</v>
      </c>
      <c r="D1538" s="6">
        <v>25239</v>
      </c>
      <c r="E1538" s="6">
        <v>25250</v>
      </c>
      <c r="F1538" s="6">
        <v>25540</v>
      </c>
      <c r="G1538" s="6">
        <v>25879</v>
      </c>
      <c r="H1538" s="6">
        <v>26138</v>
      </c>
      <c r="I1538" s="1" t="str">
        <f t="shared" si="46"/>
        <v xml:space="preserve"> California</v>
      </c>
      <c r="J1538" s="1" t="str">
        <f t="shared" si="47"/>
        <v>Reedley city</v>
      </c>
      <c r="K1538" s="1">
        <f>IF(COUNTIF($I$5:I1538,I1538)=1,1,0)</f>
        <v>0</v>
      </c>
    </row>
    <row r="1539" spans="1:11" x14ac:dyDescent="0.2">
      <c r="A1539" s="9">
        <v>1535</v>
      </c>
      <c r="B1539" s="5" t="s">
        <v>1534</v>
      </c>
      <c r="C1539" s="6">
        <v>23903</v>
      </c>
      <c r="D1539" s="6">
        <v>24027</v>
      </c>
      <c r="E1539" s="6">
        <v>24037</v>
      </c>
      <c r="F1539" s="6">
        <v>25384</v>
      </c>
      <c r="G1539" s="6">
        <v>25388</v>
      </c>
      <c r="H1539" s="6">
        <v>26116</v>
      </c>
      <c r="I1539" s="1" t="str">
        <f t="shared" si="46"/>
        <v xml:space="preserve"> Texas</v>
      </c>
      <c r="J1539" s="1" t="str">
        <f t="shared" si="47"/>
        <v>Saginaw city</v>
      </c>
      <c r="K1539" s="1">
        <f>IF(COUNTIF($I$5:I1539,I1539)=1,1,0)</f>
        <v>0</v>
      </c>
    </row>
    <row r="1540" spans="1:11" x14ac:dyDescent="0.2">
      <c r="A1540" s="9">
        <v>1536</v>
      </c>
      <c r="B1540" s="5" t="s">
        <v>1535</v>
      </c>
      <c r="C1540" s="6">
        <v>25435</v>
      </c>
      <c r="D1540" s="6">
        <v>25457</v>
      </c>
      <c r="E1540" s="6">
        <v>25525</v>
      </c>
      <c r="F1540" s="6">
        <v>25646</v>
      </c>
      <c r="G1540" s="6">
        <v>25808</v>
      </c>
      <c r="H1540" s="6">
        <v>26067</v>
      </c>
      <c r="I1540" s="1" t="str">
        <f t="shared" si="46"/>
        <v xml:space="preserve"> Ohio</v>
      </c>
      <c r="J1540" s="1" t="str">
        <f t="shared" si="47"/>
        <v>Xenia city</v>
      </c>
      <c r="K1540" s="1">
        <f>IF(COUNTIF($I$5:I1540,I1540)=1,1,0)</f>
        <v>0</v>
      </c>
    </row>
    <row r="1541" spans="1:11" x14ac:dyDescent="0.2">
      <c r="A1541" s="9">
        <v>1537</v>
      </c>
      <c r="B1541" s="5" t="s">
        <v>1536</v>
      </c>
      <c r="C1541" s="6">
        <v>26986</v>
      </c>
      <c r="D1541" s="6">
        <v>26913</v>
      </c>
      <c r="E1541" s="6">
        <v>26589</v>
      </c>
      <c r="F1541" s="6">
        <v>26368</v>
      </c>
      <c r="G1541" s="6">
        <v>26165</v>
      </c>
      <c r="H1541" s="6">
        <v>26060</v>
      </c>
      <c r="I1541" s="1" t="str">
        <f t="shared" si="46"/>
        <v xml:space="preserve"> West Virginia</v>
      </c>
      <c r="J1541" s="1" t="str">
        <f t="shared" si="47"/>
        <v>Wheeling city</v>
      </c>
      <c r="K1541" s="1">
        <f>IF(COUNTIF($I$5:I1541,I1541)=1,1,0)</f>
        <v>0</v>
      </c>
    </row>
    <row r="1542" spans="1:11" x14ac:dyDescent="0.2">
      <c r="A1542" s="9">
        <v>1538</v>
      </c>
      <c r="B1542" s="5" t="s">
        <v>1537</v>
      </c>
      <c r="C1542" s="6">
        <v>24365</v>
      </c>
      <c r="D1542" s="6">
        <v>24357</v>
      </c>
      <c r="E1542" s="6">
        <v>24589</v>
      </c>
      <c r="F1542" s="6">
        <v>25079</v>
      </c>
      <c r="G1542" s="6">
        <v>25513</v>
      </c>
      <c r="H1542" s="6">
        <v>26047</v>
      </c>
      <c r="I1542" s="1" t="str">
        <f t="shared" ref="I1542:I1605" si="48">_xlfn.TEXTAFTER(B1542,",")</f>
        <v xml:space="preserve"> Michigan</v>
      </c>
      <c r="J1542" s="1" t="str">
        <f t="shared" ref="J1542:J1605" si="49">_xlfn.TEXTBEFORE(B1542,", ")</f>
        <v>Auburn Hills city</v>
      </c>
      <c r="K1542" s="1">
        <f>IF(COUNTIF($I$5:I1542,I1542)=1,1,0)</f>
        <v>0</v>
      </c>
    </row>
    <row r="1543" spans="1:11" x14ac:dyDescent="0.2">
      <c r="A1543" s="9">
        <v>1539</v>
      </c>
      <c r="B1543" s="5" t="s">
        <v>1538</v>
      </c>
      <c r="C1543" s="6">
        <v>22469</v>
      </c>
      <c r="D1543" s="6">
        <v>22708</v>
      </c>
      <c r="E1543" s="6">
        <v>23308</v>
      </c>
      <c r="F1543" s="6">
        <v>23873</v>
      </c>
      <c r="G1543" s="6">
        <v>25033</v>
      </c>
      <c r="H1543" s="6">
        <v>26044</v>
      </c>
      <c r="I1543" s="1" t="str">
        <f t="shared" si="48"/>
        <v xml:space="preserve"> Alabama</v>
      </c>
      <c r="J1543" s="1" t="str">
        <f t="shared" si="49"/>
        <v>Fairhope city</v>
      </c>
      <c r="K1543" s="1">
        <f>IF(COUNTIF($I$5:I1543,I1543)=1,1,0)</f>
        <v>0</v>
      </c>
    </row>
    <row r="1544" spans="1:11" x14ac:dyDescent="0.2">
      <c r="A1544" s="9">
        <v>1540</v>
      </c>
      <c r="B1544" s="5" t="s">
        <v>1539</v>
      </c>
      <c r="C1544" s="6">
        <v>26051</v>
      </c>
      <c r="D1544" s="6">
        <v>26058</v>
      </c>
      <c r="E1544" s="6">
        <v>25996</v>
      </c>
      <c r="F1544" s="6">
        <v>25932</v>
      </c>
      <c r="G1544" s="6">
        <v>25919</v>
      </c>
      <c r="H1544" s="6">
        <v>26012</v>
      </c>
      <c r="I1544" s="1" t="str">
        <f t="shared" si="48"/>
        <v xml:space="preserve"> Texas</v>
      </c>
      <c r="J1544" s="1" t="str">
        <f t="shared" si="49"/>
        <v>Colleyville city</v>
      </c>
      <c r="K1544" s="1">
        <f>IF(COUNTIF($I$5:I1544,I1544)=1,1,0)</f>
        <v>0</v>
      </c>
    </row>
    <row r="1545" spans="1:11" x14ac:dyDescent="0.2">
      <c r="A1545" s="9">
        <v>1541</v>
      </c>
      <c r="B1545" s="5" t="s">
        <v>1540</v>
      </c>
      <c r="C1545" s="6">
        <v>25330</v>
      </c>
      <c r="D1545" s="6">
        <v>25297</v>
      </c>
      <c r="E1545" s="6">
        <v>25221</v>
      </c>
      <c r="F1545" s="6">
        <v>25258</v>
      </c>
      <c r="G1545" s="6">
        <v>25654</v>
      </c>
      <c r="H1545" s="6">
        <v>26003</v>
      </c>
      <c r="I1545" s="1" t="str">
        <f t="shared" si="48"/>
        <v xml:space="preserve"> New Jersey</v>
      </c>
      <c r="J1545" s="1" t="str">
        <f t="shared" si="49"/>
        <v>Carteret borough</v>
      </c>
      <c r="K1545" s="1">
        <f>IF(COUNTIF($I$5:I1545,I1545)=1,1,0)</f>
        <v>0</v>
      </c>
    </row>
    <row r="1546" spans="1:11" x14ac:dyDescent="0.2">
      <c r="A1546" s="9">
        <v>1542</v>
      </c>
      <c r="B1546" s="5" t="s">
        <v>1541</v>
      </c>
      <c r="C1546" s="6">
        <v>21617</v>
      </c>
      <c r="D1546" s="6">
        <v>21765</v>
      </c>
      <c r="E1546" s="6">
        <v>22757</v>
      </c>
      <c r="F1546" s="6">
        <v>23947</v>
      </c>
      <c r="G1546" s="6">
        <v>24757</v>
      </c>
      <c r="H1546" s="6">
        <v>25986</v>
      </c>
      <c r="I1546" s="1" t="str">
        <f t="shared" si="48"/>
        <v xml:space="preserve"> Illinois</v>
      </c>
      <c r="J1546" s="1" t="str">
        <f t="shared" si="49"/>
        <v>Yorkville city</v>
      </c>
      <c r="K1546" s="1">
        <f>IF(COUNTIF($I$5:I1546,I1546)=1,1,0)</f>
        <v>0</v>
      </c>
    </row>
    <row r="1547" spans="1:11" x14ac:dyDescent="0.2">
      <c r="A1547" s="9">
        <v>1543</v>
      </c>
      <c r="B1547" s="5" t="s">
        <v>1542</v>
      </c>
      <c r="C1547" s="6">
        <v>26876</v>
      </c>
      <c r="D1547" s="6">
        <v>26866</v>
      </c>
      <c r="E1547" s="6">
        <v>26491</v>
      </c>
      <c r="F1547" s="6">
        <v>26129</v>
      </c>
      <c r="G1547" s="6">
        <v>26016</v>
      </c>
      <c r="H1547" s="6">
        <v>25963</v>
      </c>
      <c r="I1547" s="1" t="str">
        <f t="shared" si="48"/>
        <v xml:space="preserve"> New York</v>
      </c>
      <c r="J1547" s="1" t="str">
        <f t="shared" si="49"/>
        <v>Auburn city</v>
      </c>
      <c r="K1547" s="1">
        <f>IF(COUNTIF($I$5:I1547,I1547)=1,1,0)</f>
        <v>0</v>
      </c>
    </row>
    <row r="1548" spans="1:11" x14ac:dyDescent="0.2">
      <c r="A1548" s="9">
        <v>1544</v>
      </c>
      <c r="B1548" s="5" t="s">
        <v>1543</v>
      </c>
      <c r="C1548" s="6">
        <v>22925</v>
      </c>
      <c r="D1548" s="6">
        <v>23021</v>
      </c>
      <c r="E1548" s="6">
        <v>24159</v>
      </c>
      <c r="F1548" s="6">
        <v>24161</v>
      </c>
      <c r="G1548" s="6">
        <v>25288</v>
      </c>
      <c r="H1548" s="6">
        <v>25962</v>
      </c>
      <c r="I1548" s="1" t="str">
        <f t="shared" si="48"/>
        <v xml:space="preserve"> Missouri</v>
      </c>
      <c r="J1548" s="1" t="str">
        <f t="shared" si="49"/>
        <v>Raymore city</v>
      </c>
      <c r="K1548" s="1">
        <f>IF(COUNTIF($I$5:I1548,I1548)=1,1,0)</f>
        <v>0</v>
      </c>
    </row>
    <row r="1549" spans="1:11" x14ac:dyDescent="0.2">
      <c r="A1549" s="9">
        <v>1545</v>
      </c>
      <c r="B1549" s="5" t="s">
        <v>1544</v>
      </c>
      <c r="C1549" s="6">
        <v>25138</v>
      </c>
      <c r="D1549" s="6">
        <v>25237</v>
      </c>
      <c r="E1549" s="6">
        <v>25193</v>
      </c>
      <c r="F1549" s="6">
        <v>25103</v>
      </c>
      <c r="G1549" s="6">
        <v>25406</v>
      </c>
      <c r="H1549" s="6">
        <v>25921</v>
      </c>
      <c r="I1549" s="1" t="str">
        <f t="shared" si="48"/>
        <v xml:space="preserve"> Michigan</v>
      </c>
      <c r="J1549" s="1" t="str">
        <f t="shared" si="49"/>
        <v>Walker city</v>
      </c>
      <c r="K1549" s="1">
        <f>IF(COUNTIF($I$5:I1549,I1549)=1,1,0)</f>
        <v>0</v>
      </c>
    </row>
    <row r="1550" spans="1:11" x14ac:dyDescent="0.2">
      <c r="A1550" s="9">
        <v>1546</v>
      </c>
      <c r="B1550" s="5" t="s">
        <v>1545</v>
      </c>
      <c r="C1550" s="6">
        <v>25341</v>
      </c>
      <c r="D1550" s="6">
        <v>25396</v>
      </c>
      <c r="E1550" s="6">
        <v>25417</v>
      </c>
      <c r="F1550" s="6">
        <v>25698</v>
      </c>
      <c r="G1550" s="6">
        <v>25669</v>
      </c>
      <c r="H1550" s="6">
        <v>25908</v>
      </c>
      <c r="I1550" s="1" t="str">
        <f t="shared" si="48"/>
        <v xml:space="preserve"> Virginia</v>
      </c>
      <c r="J1550" s="1" t="str">
        <f t="shared" si="49"/>
        <v>Salem city</v>
      </c>
      <c r="K1550" s="1">
        <f>IF(COUNTIF($I$5:I1550,I1550)=1,1,0)</f>
        <v>0</v>
      </c>
    </row>
    <row r="1551" spans="1:11" x14ac:dyDescent="0.2">
      <c r="A1551" s="9">
        <v>1547</v>
      </c>
      <c r="B1551" s="5" t="s">
        <v>1546</v>
      </c>
      <c r="C1551" s="6">
        <v>25676</v>
      </c>
      <c r="D1551" s="6">
        <v>25653</v>
      </c>
      <c r="E1551" s="6">
        <v>25811</v>
      </c>
      <c r="F1551" s="6">
        <v>25716</v>
      </c>
      <c r="G1551" s="6">
        <v>25794</v>
      </c>
      <c r="H1551" s="6">
        <v>25892</v>
      </c>
      <c r="I1551" s="1" t="str">
        <f t="shared" si="48"/>
        <v xml:space="preserve"> Illinois</v>
      </c>
      <c r="J1551" s="1" t="str">
        <f t="shared" si="49"/>
        <v>Woodstock city</v>
      </c>
      <c r="K1551" s="1">
        <f>IF(COUNTIF($I$5:I1551,I1551)=1,1,0)</f>
        <v>0</v>
      </c>
    </row>
    <row r="1552" spans="1:11" x14ac:dyDescent="0.2">
      <c r="A1552" s="9">
        <v>1548</v>
      </c>
      <c r="B1552" s="5" t="s">
        <v>1547</v>
      </c>
      <c r="C1552" s="6">
        <v>25097</v>
      </c>
      <c r="D1552" s="6">
        <v>25131</v>
      </c>
      <c r="E1552" s="6">
        <v>25383</v>
      </c>
      <c r="F1552" s="6">
        <v>25542</v>
      </c>
      <c r="G1552" s="6">
        <v>25756</v>
      </c>
      <c r="H1552" s="6">
        <v>25870</v>
      </c>
      <c r="I1552" s="1" t="str">
        <f t="shared" si="48"/>
        <v xml:space="preserve"> Mississippi</v>
      </c>
      <c r="J1552" s="1" t="str">
        <f t="shared" si="49"/>
        <v>Brandon city</v>
      </c>
      <c r="K1552" s="1">
        <f>IF(COUNTIF($I$5:I1552,I1552)=1,1,0)</f>
        <v>0</v>
      </c>
    </row>
    <row r="1553" spans="1:11" x14ac:dyDescent="0.2">
      <c r="A1553" s="9">
        <v>1549</v>
      </c>
      <c r="B1553" s="5" t="s">
        <v>1548</v>
      </c>
      <c r="C1553" s="6">
        <v>23980</v>
      </c>
      <c r="D1553" s="6">
        <v>24038</v>
      </c>
      <c r="E1553" s="6">
        <v>24270</v>
      </c>
      <c r="F1553" s="6">
        <v>25411</v>
      </c>
      <c r="G1553" s="6">
        <v>25545</v>
      </c>
      <c r="H1553" s="6">
        <v>25861</v>
      </c>
      <c r="I1553" s="1" t="str">
        <f t="shared" si="48"/>
        <v xml:space="preserve"> Missouri</v>
      </c>
      <c r="J1553" s="1" t="str">
        <f t="shared" si="49"/>
        <v>Belton city</v>
      </c>
      <c r="K1553" s="1">
        <f>IF(COUNTIF($I$5:I1553,I1553)=1,1,0)</f>
        <v>0</v>
      </c>
    </row>
    <row r="1554" spans="1:11" x14ac:dyDescent="0.2">
      <c r="A1554" s="9">
        <v>1550</v>
      </c>
      <c r="B1554" s="5" t="s">
        <v>1549</v>
      </c>
      <c r="C1554" s="6">
        <v>26362</v>
      </c>
      <c r="D1554" s="6">
        <v>26344</v>
      </c>
      <c r="E1554" s="6">
        <v>26264</v>
      </c>
      <c r="F1554" s="6">
        <v>26053</v>
      </c>
      <c r="G1554" s="6">
        <v>25900</v>
      </c>
      <c r="H1554" s="6">
        <v>25846</v>
      </c>
      <c r="I1554" s="1" t="str">
        <f t="shared" si="48"/>
        <v xml:space="preserve"> California</v>
      </c>
      <c r="J1554" s="1" t="str">
        <f t="shared" si="49"/>
        <v>Windsor town</v>
      </c>
      <c r="K1554" s="1">
        <f>IF(COUNTIF($I$5:I1554,I1554)=1,1,0)</f>
        <v>0</v>
      </c>
    </row>
    <row r="1555" spans="1:11" x14ac:dyDescent="0.2">
      <c r="A1555" s="9">
        <v>1551</v>
      </c>
      <c r="B1555" s="5" t="s">
        <v>1550</v>
      </c>
      <c r="C1555" s="6">
        <v>25726</v>
      </c>
      <c r="D1555" s="6">
        <v>25698</v>
      </c>
      <c r="E1555" s="6">
        <v>25762</v>
      </c>
      <c r="F1555" s="6">
        <v>25637</v>
      </c>
      <c r="G1555" s="6">
        <v>25680</v>
      </c>
      <c r="H1555" s="6">
        <v>25844</v>
      </c>
      <c r="I1555" s="1" t="str">
        <f t="shared" si="48"/>
        <v xml:space="preserve"> Mississippi</v>
      </c>
      <c r="J1555" s="1" t="str">
        <f t="shared" si="49"/>
        <v>Starkville city</v>
      </c>
      <c r="K1555" s="1">
        <f>IF(COUNTIF($I$5:I1555,I1555)=1,1,0)</f>
        <v>0</v>
      </c>
    </row>
    <row r="1556" spans="1:11" x14ac:dyDescent="0.2">
      <c r="A1556" s="9">
        <v>1552</v>
      </c>
      <c r="B1556" s="5" t="s">
        <v>1551</v>
      </c>
      <c r="C1556" s="6">
        <v>23345</v>
      </c>
      <c r="D1556" s="6">
        <v>23428</v>
      </c>
      <c r="E1556" s="6">
        <v>23932</v>
      </c>
      <c r="F1556" s="6">
        <v>24079</v>
      </c>
      <c r="G1556" s="6">
        <v>25345</v>
      </c>
      <c r="H1556" s="6">
        <v>25836</v>
      </c>
      <c r="I1556" s="1" t="str">
        <f t="shared" si="48"/>
        <v xml:space="preserve"> Kansas</v>
      </c>
      <c r="J1556" s="1" t="str">
        <f t="shared" si="49"/>
        <v>Gardner city</v>
      </c>
      <c r="K1556" s="1">
        <f>IF(COUNTIF($I$5:I1556,I1556)=1,1,0)</f>
        <v>0</v>
      </c>
    </row>
    <row r="1557" spans="1:11" x14ac:dyDescent="0.2">
      <c r="A1557" s="9">
        <v>1553</v>
      </c>
      <c r="B1557" s="5" t="s">
        <v>1552</v>
      </c>
      <c r="C1557" s="6">
        <v>24615</v>
      </c>
      <c r="D1557" s="6">
        <v>24796</v>
      </c>
      <c r="E1557" s="6">
        <v>25329</v>
      </c>
      <c r="F1557" s="6">
        <v>25628</v>
      </c>
      <c r="G1557" s="6">
        <v>25799</v>
      </c>
      <c r="H1557" s="6">
        <v>25833</v>
      </c>
      <c r="I1557" s="1" t="str">
        <f t="shared" si="48"/>
        <v xml:space="preserve"> California</v>
      </c>
      <c r="J1557" s="1" t="str">
        <f t="shared" si="49"/>
        <v>Dinuba city</v>
      </c>
      <c r="K1557" s="1">
        <f>IF(COUNTIF($I$5:I1557,I1557)=1,1,0)</f>
        <v>0</v>
      </c>
    </row>
    <row r="1558" spans="1:11" x14ac:dyDescent="0.2">
      <c r="A1558" s="9">
        <v>1554</v>
      </c>
      <c r="B1558" s="5" t="s">
        <v>1553</v>
      </c>
      <c r="C1558" s="6">
        <v>23079</v>
      </c>
      <c r="D1558" s="6">
        <v>23240</v>
      </c>
      <c r="E1558" s="6">
        <v>23897</v>
      </c>
      <c r="F1558" s="6">
        <v>24531</v>
      </c>
      <c r="G1558" s="6">
        <v>25268</v>
      </c>
      <c r="H1558" s="6">
        <v>25814</v>
      </c>
      <c r="I1558" s="1" t="str">
        <f t="shared" si="48"/>
        <v xml:space="preserve"> Ohio</v>
      </c>
      <c r="J1558" s="1" t="str">
        <f t="shared" si="49"/>
        <v>Pickerington city</v>
      </c>
      <c r="K1558" s="1">
        <f>IF(COUNTIF($I$5:I1558,I1558)=1,1,0)</f>
        <v>0</v>
      </c>
    </row>
    <row r="1559" spans="1:11" x14ac:dyDescent="0.2">
      <c r="A1559" s="9">
        <v>1555</v>
      </c>
      <c r="B1559" s="5" t="s">
        <v>1554</v>
      </c>
      <c r="C1559" s="6">
        <v>23582</v>
      </c>
      <c r="D1559" s="6">
        <v>23652</v>
      </c>
      <c r="E1559" s="6">
        <v>24069</v>
      </c>
      <c r="F1559" s="6">
        <v>24555</v>
      </c>
      <c r="G1559" s="6">
        <v>25282</v>
      </c>
      <c r="H1559" s="6">
        <v>25792</v>
      </c>
      <c r="I1559" s="1" t="str">
        <f t="shared" si="48"/>
        <v xml:space="preserve"> Tennessee</v>
      </c>
      <c r="J1559" s="1" t="str">
        <f t="shared" si="49"/>
        <v>Shelbyville city</v>
      </c>
      <c r="K1559" s="1">
        <f>IF(COUNTIF($I$5:I1559,I1559)=1,1,0)</f>
        <v>0</v>
      </c>
    </row>
    <row r="1560" spans="1:11" x14ac:dyDescent="0.2">
      <c r="A1560" s="9">
        <v>1556</v>
      </c>
      <c r="B1560" s="5" t="s">
        <v>1555</v>
      </c>
      <c r="C1560" s="6">
        <v>26380</v>
      </c>
      <c r="D1560" s="6">
        <v>26344</v>
      </c>
      <c r="E1560" s="6">
        <v>26203</v>
      </c>
      <c r="F1560" s="6">
        <v>25994</v>
      </c>
      <c r="G1560" s="6">
        <v>25832</v>
      </c>
      <c r="H1560" s="6">
        <v>25768</v>
      </c>
      <c r="I1560" s="1" t="str">
        <f t="shared" si="48"/>
        <v xml:space="preserve"> Indiana</v>
      </c>
      <c r="J1560" s="1" t="str">
        <f t="shared" si="49"/>
        <v>East Chicago city</v>
      </c>
      <c r="K1560" s="1">
        <f>IF(COUNTIF($I$5:I1560,I1560)=1,1,0)</f>
        <v>0</v>
      </c>
    </row>
    <row r="1561" spans="1:11" x14ac:dyDescent="0.2">
      <c r="A1561" s="9">
        <v>1557</v>
      </c>
      <c r="B1561" s="5" t="s">
        <v>1556</v>
      </c>
      <c r="C1561" s="6">
        <v>25039</v>
      </c>
      <c r="D1561" s="6">
        <v>25098</v>
      </c>
      <c r="E1561" s="6">
        <v>25153</v>
      </c>
      <c r="F1561" s="6">
        <v>25410</v>
      </c>
      <c r="G1561" s="6">
        <v>25567</v>
      </c>
      <c r="H1561" s="6">
        <v>25759</v>
      </c>
      <c r="I1561" s="1" t="str">
        <f t="shared" si="48"/>
        <v xml:space="preserve"> Wisconsin</v>
      </c>
      <c r="J1561" s="1" t="str">
        <f t="shared" si="49"/>
        <v>Muskego city</v>
      </c>
      <c r="K1561" s="1">
        <f>IF(COUNTIF($I$5:I1561,I1561)=1,1,0)</f>
        <v>0</v>
      </c>
    </row>
    <row r="1562" spans="1:11" x14ac:dyDescent="0.2">
      <c r="A1562" s="9">
        <v>1558</v>
      </c>
      <c r="B1562" s="5" t="s">
        <v>1557</v>
      </c>
      <c r="C1562" s="6">
        <v>25442</v>
      </c>
      <c r="D1562" s="6">
        <v>25335</v>
      </c>
      <c r="E1562" s="6">
        <v>25849</v>
      </c>
      <c r="F1562" s="6">
        <v>25600</v>
      </c>
      <c r="G1562" s="6">
        <v>25602</v>
      </c>
      <c r="H1562" s="6">
        <v>25757</v>
      </c>
      <c r="I1562" s="1" t="str">
        <f t="shared" si="48"/>
        <v xml:space="preserve"> New York</v>
      </c>
      <c r="J1562" s="1" t="str">
        <f t="shared" si="49"/>
        <v>Peekskill city</v>
      </c>
      <c r="K1562" s="1">
        <f>IF(COUNTIF($I$5:I1562,I1562)=1,1,0)</f>
        <v>0</v>
      </c>
    </row>
    <row r="1563" spans="1:11" x14ac:dyDescent="0.2">
      <c r="A1563" s="9">
        <v>1558</v>
      </c>
      <c r="B1563" s="5" t="s">
        <v>1558</v>
      </c>
      <c r="C1563" s="6">
        <v>26079</v>
      </c>
      <c r="D1563" s="6">
        <v>26071</v>
      </c>
      <c r="E1563" s="6">
        <v>26094</v>
      </c>
      <c r="F1563" s="6">
        <v>26036</v>
      </c>
      <c r="G1563" s="6">
        <v>25900</v>
      </c>
      <c r="H1563" s="6">
        <v>25757</v>
      </c>
      <c r="I1563" s="1" t="str">
        <f t="shared" si="48"/>
        <v xml:space="preserve"> Ohio</v>
      </c>
      <c r="J1563" s="1" t="str">
        <f t="shared" si="49"/>
        <v>Medina city</v>
      </c>
      <c r="K1563" s="1">
        <f>IF(COUNTIF($I$5:I1563,I1563)=1,1,0)</f>
        <v>0</v>
      </c>
    </row>
    <row r="1564" spans="1:11" x14ac:dyDescent="0.2">
      <c r="A1564" s="9">
        <v>1560</v>
      </c>
      <c r="B1564" s="5" t="s">
        <v>1559</v>
      </c>
      <c r="C1564" s="6">
        <v>25950</v>
      </c>
      <c r="D1564" s="6">
        <v>25982</v>
      </c>
      <c r="E1564" s="6">
        <v>26079</v>
      </c>
      <c r="F1564" s="6">
        <v>26262</v>
      </c>
      <c r="G1564" s="6">
        <v>25964</v>
      </c>
      <c r="H1564" s="6">
        <v>25746</v>
      </c>
      <c r="I1564" s="1" t="str">
        <f t="shared" si="48"/>
        <v xml:space="preserve"> Minnesota</v>
      </c>
      <c r="J1564" s="1" t="str">
        <f t="shared" si="49"/>
        <v>Chanhassen city</v>
      </c>
      <c r="K1564" s="1">
        <f>IF(COUNTIF($I$5:I1564,I1564)=1,1,0)</f>
        <v>0</v>
      </c>
    </row>
    <row r="1565" spans="1:11" x14ac:dyDescent="0.2">
      <c r="A1565" s="9">
        <v>1561</v>
      </c>
      <c r="B1565" s="5" t="s">
        <v>1560</v>
      </c>
      <c r="C1565" s="6">
        <v>17870</v>
      </c>
      <c r="D1565" s="6">
        <v>18249</v>
      </c>
      <c r="E1565" s="6">
        <v>19997</v>
      </c>
      <c r="F1565" s="6">
        <v>21574</v>
      </c>
      <c r="G1565" s="6">
        <v>24024</v>
      </c>
      <c r="H1565" s="6">
        <v>25745</v>
      </c>
      <c r="I1565" s="1" t="str">
        <f t="shared" si="48"/>
        <v xml:space="preserve"> Arkansas</v>
      </c>
      <c r="J1565" s="1" t="str">
        <f t="shared" si="49"/>
        <v>Centerton city</v>
      </c>
      <c r="K1565" s="1">
        <f>IF(COUNTIF($I$5:I1565,I1565)=1,1,0)</f>
        <v>0</v>
      </c>
    </row>
    <row r="1566" spans="1:11" x14ac:dyDescent="0.2">
      <c r="A1566" s="9">
        <v>1562</v>
      </c>
      <c r="B1566" s="5" t="s">
        <v>1561</v>
      </c>
      <c r="C1566" s="6">
        <v>26005</v>
      </c>
      <c r="D1566" s="6">
        <v>25895</v>
      </c>
      <c r="E1566" s="6">
        <v>25857</v>
      </c>
      <c r="F1566" s="6">
        <v>25709</v>
      </c>
      <c r="G1566" s="6">
        <v>25648</v>
      </c>
      <c r="H1566" s="6">
        <v>25718</v>
      </c>
      <c r="I1566" s="1" t="str">
        <f t="shared" si="48"/>
        <v xml:space="preserve"> New York</v>
      </c>
      <c r="J1566" s="1" t="str">
        <f t="shared" si="49"/>
        <v>Rockville Centre village</v>
      </c>
      <c r="K1566" s="1">
        <f>IF(COUNTIF($I$5:I1566,I1566)=1,1,0)</f>
        <v>0</v>
      </c>
    </row>
    <row r="1567" spans="1:11" x14ac:dyDescent="0.2">
      <c r="A1567" s="9">
        <v>1563</v>
      </c>
      <c r="B1567" s="5" t="s">
        <v>1562</v>
      </c>
      <c r="C1567" s="6">
        <v>25675</v>
      </c>
      <c r="D1567" s="6">
        <v>25811</v>
      </c>
      <c r="E1567" s="6">
        <v>25165</v>
      </c>
      <c r="F1567" s="6">
        <v>24943</v>
      </c>
      <c r="G1567" s="6">
        <v>25210</v>
      </c>
      <c r="H1567" s="6">
        <v>25695</v>
      </c>
      <c r="I1567" s="1" t="str">
        <f t="shared" si="48"/>
        <v xml:space="preserve"> North Dakota</v>
      </c>
      <c r="J1567" s="1" t="str">
        <f t="shared" si="49"/>
        <v>Dickinson city</v>
      </c>
      <c r="K1567" s="1">
        <f>IF(COUNTIF($I$5:I1567,I1567)=1,1,0)</f>
        <v>0</v>
      </c>
    </row>
    <row r="1568" spans="1:11" x14ac:dyDescent="0.2">
      <c r="A1568" s="9">
        <v>1564</v>
      </c>
      <c r="B1568" s="5" t="s">
        <v>1563</v>
      </c>
      <c r="C1568" s="6">
        <v>23201</v>
      </c>
      <c r="D1568" s="6">
        <v>23392</v>
      </c>
      <c r="E1568" s="6">
        <v>24279</v>
      </c>
      <c r="F1568" s="6">
        <v>24755</v>
      </c>
      <c r="G1568" s="6">
        <v>25188</v>
      </c>
      <c r="H1568" s="6">
        <v>25686</v>
      </c>
      <c r="I1568" s="1" t="str">
        <f t="shared" si="48"/>
        <v xml:space="preserve"> Delaware</v>
      </c>
      <c r="J1568" s="1" t="str">
        <f t="shared" si="49"/>
        <v>Middletown town</v>
      </c>
      <c r="K1568" s="1">
        <f>IF(COUNTIF($I$5:I1568,I1568)=1,1,0)</f>
        <v>0</v>
      </c>
    </row>
    <row r="1569" spans="1:11" x14ac:dyDescent="0.2">
      <c r="A1569" s="9">
        <v>1565</v>
      </c>
      <c r="B1569" s="5" t="s">
        <v>1564</v>
      </c>
      <c r="C1569" s="6">
        <v>26932</v>
      </c>
      <c r="D1569" s="6">
        <v>26837</v>
      </c>
      <c r="E1569" s="6">
        <v>26238</v>
      </c>
      <c r="F1569" s="6">
        <v>25929</v>
      </c>
      <c r="G1569" s="6">
        <v>25734</v>
      </c>
      <c r="H1569" s="6">
        <v>25656</v>
      </c>
      <c r="I1569" s="1" t="str">
        <f t="shared" si="48"/>
        <v xml:space="preserve"> California</v>
      </c>
      <c r="J1569" s="1" t="str">
        <f t="shared" si="49"/>
        <v>South Pasadena city</v>
      </c>
      <c r="K1569" s="1">
        <f>IF(COUNTIF($I$5:I1569,I1569)=1,1,0)</f>
        <v>0</v>
      </c>
    </row>
    <row r="1570" spans="1:11" x14ac:dyDescent="0.2">
      <c r="A1570" s="9">
        <v>1566</v>
      </c>
      <c r="B1570" s="5" t="s">
        <v>1565</v>
      </c>
      <c r="C1570" s="6">
        <v>25545</v>
      </c>
      <c r="D1570" s="6">
        <v>25459</v>
      </c>
      <c r="E1570" s="6">
        <v>25408</v>
      </c>
      <c r="F1570" s="6">
        <v>25217</v>
      </c>
      <c r="G1570" s="6">
        <v>25438</v>
      </c>
      <c r="H1570" s="6">
        <v>25648</v>
      </c>
      <c r="I1570" s="1" t="str">
        <f t="shared" si="48"/>
        <v xml:space="preserve"> Iowa</v>
      </c>
      <c r="J1570" s="1" t="str">
        <f t="shared" si="49"/>
        <v>Ottumwa city</v>
      </c>
      <c r="K1570" s="1">
        <f>IF(COUNTIF($I$5:I1570,I1570)=1,1,0)</f>
        <v>0</v>
      </c>
    </row>
    <row r="1571" spans="1:11" x14ac:dyDescent="0.2">
      <c r="A1571" s="9">
        <v>1567</v>
      </c>
      <c r="B1571" s="5" t="s">
        <v>1566</v>
      </c>
      <c r="C1571" s="6">
        <v>23041</v>
      </c>
      <c r="D1571" s="6">
        <v>23128</v>
      </c>
      <c r="E1571" s="6">
        <v>23601</v>
      </c>
      <c r="F1571" s="6">
        <v>24250</v>
      </c>
      <c r="G1571" s="6">
        <v>25181</v>
      </c>
      <c r="H1571" s="6">
        <v>25635</v>
      </c>
      <c r="I1571" s="1" t="str">
        <f t="shared" si="48"/>
        <v xml:space="preserve"> Texas</v>
      </c>
      <c r="J1571" s="1" t="str">
        <f t="shared" si="49"/>
        <v>Belton city</v>
      </c>
      <c r="K1571" s="1">
        <f>IF(COUNTIF($I$5:I1571,I1571)=1,1,0)</f>
        <v>0</v>
      </c>
    </row>
    <row r="1572" spans="1:11" x14ac:dyDescent="0.2">
      <c r="A1572" s="9">
        <v>1568</v>
      </c>
      <c r="B1572" s="5" t="s">
        <v>1567</v>
      </c>
      <c r="C1572" s="6">
        <v>24946</v>
      </c>
      <c r="D1572" s="6">
        <v>24957</v>
      </c>
      <c r="E1572" s="6">
        <v>24928</v>
      </c>
      <c r="F1572" s="6">
        <v>24961</v>
      </c>
      <c r="G1572" s="6">
        <v>25234</v>
      </c>
      <c r="H1572" s="6">
        <v>25625</v>
      </c>
      <c r="I1572" s="1" t="str">
        <f t="shared" si="48"/>
        <v xml:space="preserve"> California</v>
      </c>
      <c r="J1572" s="1" t="str">
        <f t="shared" si="49"/>
        <v>Riverbank city</v>
      </c>
      <c r="K1572" s="1">
        <f>IF(COUNTIF($I$5:I1572,I1572)=1,1,0)</f>
        <v>0</v>
      </c>
    </row>
    <row r="1573" spans="1:11" x14ac:dyDescent="0.2">
      <c r="A1573" s="9">
        <v>1569</v>
      </c>
      <c r="B1573" s="5" t="s">
        <v>1568</v>
      </c>
      <c r="C1573" s="6">
        <v>25117</v>
      </c>
      <c r="D1573" s="6">
        <v>25143</v>
      </c>
      <c r="E1573" s="6">
        <v>25523</v>
      </c>
      <c r="F1573" s="6">
        <v>25609</v>
      </c>
      <c r="G1573" s="6">
        <v>25667</v>
      </c>
      <c r="H1573" s="6">
        <v>25591</v>
      </c>
      <c r="I1573" s="1" t="str">
        <f t="shared" si="48"/>
        <v xml:space="preserve"> Texas</v>
      </c>
      <c r="J1573" s="1" t="str">
        <f t="shared" si="49"/>
        <v>Corsicana city</v>
      </c>
      <c r="K1573" s="1">
        <f>IF(COUNTIF($I$5:I1573,I1573)=1,1,0)</f>
        <v>0</v>
      </c>
    </row>
    <row r="1574" spans="1:11" x14ac:dyDescent="0.2">
      <c r="A1574" s="9">
        <v>1570</v>
      </c>
      <c r="B1574" s="5" t="s">
        <v>1569</v>
      </c>
      <c r="C1574" s="6">
        <v>24844</v>
      </c>
      <c r="D1574" s="6">
        <v>24934</v>
      </c>
      <c r="E1574" s="6">
        <v>25240</v>
      </c>
      <c r="F1574" s="6">
        <v>25361</v>
      </c>
      <c r="G1574" s="6">
        <v>25435</v>
      </c>
      <c r="H1574" s="6">
        <v>25573</v>
      </c>
      <c r="I1574" s="1" t="str">
        <f t="shared" si="48"/>
        <v xml:space="preserve"> Ohio</v>
      </c>
      <c r="J1574" s="1" t="str">
        <f t="shared" si="49"/>
        <v>Avon city</v>
      </c>
      <c r="K1574" s="1">
        <f>IF(COUNTIF($I$5:I1574,I1574)=1,1,0)</f>
        <v>0</v>
      </c>
    </row>
    <row r="1575" spans="1:11" x14ac:dyDescent="0.2">
      <c r="A1575" s="9">
        <v>1571</v>
      </c>
      <c r="B1575" s="5" t="s">
        <v>1570</v>
      </c>
      <c r="C1575" s="6">
        <v>26129</v>
      </c>
      <c r="D1575" s="6">
        <v>26101</v>
      </c>
      <c r="E1575" s="6">
        <v>25906</v>
      </c>
      <c r="F1575" s="6">
        <v>25738</v>
      </c>
      <c r="G1575" s="6">
        <v>25595</v>
      </c>
      <c r="H1575" s="6">
        <v>25568</v>
      </c>
      <c r="I1575" s="1" t="str">
        <f t="shared" si="48"/>
        <v xml:space="preserve"> California</v>
      </c>
      <c r="J1575" s="1" t="str">
        <f t="shared" si="49"/>
        <v>Imperial Beach city</v>
      </c>
      <c r="K1575" s="1">
        <f>IF(COUNTIF($I$5:I1575,I1575)=1,1,0)</f>
        <v>0</v>
      </c>
    </row>
    <row r="1576" spans="1:11" x14ac:dyDescent="0.2">
      <c r="A1576" s="9">
        <v>1572</v>
      </c>
      <c r="B1576" s="5" t="s">
        <v>1571</v>
      </c>
      <c r="C1576" s="6">
        <v>22896</v>
      </c>
      <c r="D1576" s="6">
        <v>23026</v>
      </c>
      <c r="E1576" s="6">
        <v>23578</v>
      </c>
      <c r="F1576" s="6">
        <v>24262</v>
      </c>
      <c r="G1576" s="6">
        <v>24776</v>
      </c>
      <c r="H1576" s="6">
        <v>25508</v>
      </c>
      <c r="I1576" s="1" t="str">
        <f t="shared" si="48"/>
        <v xml:space="preserve"> Nevada</v>
      </c>
      <c r="J1576" s="1" t="str">
        <f t="shared" si="49"/>
        <v>Fernley city</v>
      </c>
      <c r="K1576" s="1">
        <f>IF(COUNTIF($I$5:I1576,I1576)=1,1,0)</f>
        <v>0</v>
      </c>
    </row>
    <row r="1577" spans="1:11" x14ac:dyDescent="0.2">
      <c r="A1577" s="9">
        <v>1573</v>
      </c>
      <c r="B1577" s="5" t="s">
        <v>1572</v>
      </c>
      <c r="C1577" s="6">
        <v>23790</v>
      </c>
      <c r="D1577" s="6">
        <v>23827</v>
      </c>
      <c r="E1577" s="6">
        <v>24273</v>
      </c>
      <c r="F1577" s="6">
        <v>24792</v>
      </c>
      <c r="G1577" s="6">
        <v>25128</v>
      </c>
      <c r="H1577" s="6">
        <v>25495</v>
      </c>
      <c r="I1577" s="1" t="str">
        <f t="shared" si="48"/>
        <v xml:space="preserve"> California</v>
      </c>
      <c r="J1577" s="1" t="str">
        <f t="shared" si="49"/>
        <v>Patterson city</v>
      </c>
      <c r="K1577" s="1">
        <f>IF(COUNTIF($I$5:I1577,I1577)=1,1,0)</f>
        <v>0</v>
      </c>
    </row>
    <row r="1578" spans="1:11" x14ac:dyDescent="0.2">
      <c r="A1578" s="9">
        <v>1574</v>
      </c>
      <c r="B1578" s="5" t="s">
        <v>1573</v>
      </c>
      <c r="C1578" s="6">
        <v>25624</v>
      </c>
      <c r="D1578" s="6">
        <v>25563</v>
      </c>
      <c r="E1578" s="6">
        <v>25421</v>
      </c>
      <c r="F1578" s="6">
        <v>25260</v>
      </c>
      <c r="G1578" s="6">
        <v>25304</v>
      </c>
      <c r="H1578" s="6">
        <v>25469</v>
      </c>
      <c r="I1578" s="1" t="str">
        <f t="shared" si="48"/>
        <v xml:space="preserve"> Illinois</v>
      </c>
      <c r="J1578" s="1" t="str">
        <f t="shared" si="49"/>
        <v>West Chicago city</v>
      </c>
      <c r="K1578" s="1">
        <f>IF(COUNTIF($I$5:I1578,I1578)=1,1,0)</f>
        <v>0</v>
      </c>
    </row>
    <row r="1579" spans="1:11" x14ac:dyDescent="0.2">
      <c r="A1579" s="9">
        <v>1575</v>
      </c>
      <c r="B1579" s="5" t="s">
        <v>1574</v>
      </c>
      <c r="C1579" s="6">
        <v>25412</v>
      </c>
      <c r="D1579" s="6">
        <v>25407</v>
      </c>
      <c r="E1579" s="6">
        <v>25169</v>
      </c>
      <c r="F1579" s="6">
        <v>25207</v>
      </c>
      <c r="G1579" s="6">
        <v>25299</v>
      </c>
      <c r="H1579" s="6">
        <v>25453</v>
      </c>
      <c r="I1579" s="1" t="str">
        <f t="shared" si="48"/>
        <v xml:space="preserve"> Wisconsin</v>
      </c>
      <c r="J1579" s="1" t="str">
        <f t="shared" si="49"/>
        <v>De Pere city</v>
      </c>
      <c r="K1579" s="1">
        <f>IF(COUNTIF($I$5:I1579,I1579)=1,1,0)</f>
        <v>0</v>
      </c>
    </row>
    <row r="1580" spans="1:11" x14ac:dyDescent="0.2">
      <c r="A1580" s="9">
        <v>1576</v>
      </c>
      <c r="B1580" s="5" t="s">
        <v>1575</v>
      </c>
      <c r="C1580" s="6">
        <v>26539</v>
      </c>
      <c r="D1580" s="6">
        <v>26471</v>
      </c>
      <c r="E1580" s="6">
        <v>26338</v>
      </c>
      <c r="F1580" s="6">
        <v>26072</v>
      </c>
      <c r="G1580" s="6">
        <v>25735</v>
      </c>
      <c r="H1580" s="6">
        <v>25412</v>
      </c>
      <c r="I1580" s="1" t="str">
        <f t="shared" si="48"/>
        <v xml:space="preserve"> California</v>
      </c>
      <c r="J1580" s="1" t="str">
        <f t="shared" si="49"/>
        <v>Eureka city</v>
      </c>
      <c r="K1580" s="1">
        <f>IF(COUNTIF($I$5:I1580,I1580)=1,1,0)</f>
        <v>0</v>
      </c>
    </row>
    <row r="1581" spans="1:11" x14ac:dyDescent="0.2">
      <c r="A1581" s="9">
        <v>1577</v>
      </c>
      <c r="B1581" s="5" t="s">
        <v>1576</v>
      </c>
      <c r="C1581" s="6">
        <v>24445</v>
      </c>
      <c r="D1581" s="6">
        <v>24327</v>
      </c>
      <c r="E1581" s="6">
        <v>23870</v>
      </c>
      <c r="F1581" s="6">
        <v>24592</v>
      </c>
      <c r="G1581" s="6">
        <v>25059</v>
      </c>
      <c r="H1581" s="6">
        <v>25402</v>
      </c>
      <c r="I1581" s="1" t="str">
        <f t="shared" si="48"/>
        <v xml:space="preserve"> Florida</v>
      </c>
      <c r="J1581" s="1" t="str">
        <f t="shared" si="49"/>
        <v>Palmetto Bay village</v>
      </c>
      <c r="K1581" s="1">
        <f>IF(COUNTIF($I$5:I1581,I1581)=1,1,0)</f>
        <v>0</v>
      </c>
    </row>
    <row r="1582" spans="1:11" x14ac:dyDescent="0.2">
      <c r="A1582" s="9">
        <v>1578</v>
      </c>
      <c r="B1582" s="5" t="s">
        <v>1577</v>
      </c>
      <c r="C1582" s="6">
        <v>26299</v>
      </c>
      <c r="D1582" s="6">
        <v>25398</v>
      </c>
      <c r="E1582" s="6">
        <v>24601</v>
      </c>
      <c r="F1582" s="6">
        <v>24576</v>
      </c>
      <c r="G1582" s="6">
        <v>25458</v>
      </c>
      <c r="H1582" s="6">
        <v>25400</v>
      </c>
      <c r="I1582" s="1" t="str">
        <f t="shared" si="48"/>
        <v xml:space="preserve"> California</v>
      </c>
      <c r="J1582" s="1" t="str">
        <f t="shared" si="49"/>
        <v>Norco city</v>
      </c>
      <c r="K1582" s="1">
        <f>IF(COUNTIF($I$5:I1582,I1582)=1,1,0)</f>
        <v>0</v>
      </c>
    </row>
    <row r="1583" spans="1:11" x14ac:dyDescent="0.2">
      <c r="A1583" s="9">
        <v>1579</v>
      </c>
      <c r="B1583" s="5" t="s">
        <v>1578</v>
      </c>
      <c r="C1583" s="6">
        <v>24164</v>
      </c>
      <c r="D1583" s="6">
        <v>24245</v>
      </c>
      <c r="E1583" s="6">
        <v>24503</v>
      </c>
      <c r="F1583" s="6">
        <v>24742</v>
      </c>
      <c r="G1583" s="6">
        <v>25162</v>
      </c>
      <c r="H1583" s="6">
        <v>25396</v>
      </c>
      <c r="I1583" s="1" t="str">
        <f t="shared" si="48"/>
        <v xml:space="preserve"> Alabama</v>
      </c>
      <c r="J1583" s="1" t="str">
        <f t="shared" si="49"/>
        <v>Pelham city</v>
      </c>
      <c r="K1583" s="1">
        <f>IF(COUNTIF($I$5:I1583,I1583)=1,1,0)</f>
        <v>0</v>
      </c>
    </row>
    <row r="1584" spans="1:11" x14ac:dyDescent="0.2">
      <c r="A1584" s="9">
        <v>1580</v>
      </c>
      <c r="B1584" s="5" t="s">
        <v>1579</v>
      </c>
      <c r="C1584" s="6">
        <v>25392</v>
      </c>
      <c r="D1584" s="6">
        <v>25386</v>
      </c>
      <c r="E1584" s="6">
        <v>25297</v>
      </c>
      <c r="F1584" s="6">
        <v>25182</v>
      </c>
      <c r="G1584" s="6">
        <v>25189</v>
      </c>
      <c r="H1584" s="6">
        <v>25371</v>
      </c>
      <c r="I1584" s="1" t="str">
        <f t="shared" si="48"/>
        <v xml:space="preserve"> California</v>
      </c>
      <c r="J1584" s="1" t="str">
        <f t="shared" si="49"/>
        <v>Lafayette city</v>
      </c>
      <c r="K1584" s="1">
        <f>IF(COUNTIF($I$5:I1584,I1584)=1,1,0)</f>
        <v>0</v>
      </c>
    </row>
    <row r="1585" spans="1:11" x14ac:dyDescent="0.2">
      <c r="A1585" s="9">
        <v>1581</v>
      </c>
      <c r="B1585" s="5" t="s">
        <v>1580</v>
      </c>
      <c r="C1585" s="6">
        <v>23553</v>
      </c>
      <c r="D1585" s="6">
        <v>23653</v>
      </c>
      <c r="E1585" s="6">
        <v>24322</v>
      </c>
      <c r="F1585" s="6">
        <v>24634</v>
      </c>
      <c r="G1585" s="6">
        <v>24940</v>
      </c>
      <c r="H1585" s="6">
        <v>25354</v>
      </c>
      <c r="I1585" s="1" t="str">
        <f t="shared" si="48"/>
        <v xml:space="preserve"> South Carolina</v>
      </c>
      <c r="J1585" s="1" t="str">
        <f t="shared" si="49"/>
        <v>Lexington town</v>
      </c>
      <c r="K1585" s="1">
        <f>IF(COUNTIF($I$5:I1585,I1585)=1,1,0)</f>
        <v>0</v>
      </c>
    </row>
    <row r="1586" spans="1:11" x14ac:dyDescent="0.2">
      <c r="A1586" s="9">
        <v>1582</v>
      </c>
      <c r="B1586" s="5" t="s">
        <v>1581</v>
      </c>
      <c r="C1586" s="6">
        <v>25147</v>
      </c>
      <c r="D1586" s="6">
        <v>25136</v>
      </c>
      <c r="E1586" s="6">
        <v>25239</v>
      </c>
      <c r="F1586" s="6">
        <v>25315</v>
      </c>
      <c r="G1586" s="6">
        <v>25334</v>
      </c>
      <c r="H1586" s="6">
        <v>25329</v>
      </c>
      <c r="I1586" s="1" t="str">
        <f t="shared" si="48"/>
        <v xml:space="preserve"> Wisconsin</v>
      </c>
      <c r="J1586" s="1" t="str">
        <f t="shared" si="49"/>
        <v>Mequon city</v>
      </c>
      <c r="K1586" s="1">
        <f>IF(COUNTIF($I$5:I1586,I1586)=1,1,0)</f>
        <v>0</v>
      </c>
    </row>
    <row r="1587" spans="1:11" x14ac:dyDescent="0.2">
      <c r="A1587" s="9">
        <v>1583</v>
      </c>
      <c r="B1587" s="5" t="s">
        <v>1582</v>
      </c>
      <c r="C1587" s="6">
        <v>25333</v>
      </c>
      <c r="D1587" s="6">
        <v>25271</v>
      </c>
      <c r="E1587" s="6">
        <v>25153</v>
      </c>
      <c r="F1587" s="6">
        <v>25134</v>
      </c>
      <c r="G1587" s="6">
        <v>25309</v>
      </c>
      <c r="H1587" s="6">
        <v>25325</v>
      </c>
      <c r="I1587" s="1" t="str">
        <f t="shared" si="48"/>
        <v xml:space="preserve"> Illinois</v>
      </c>
      <c r="J1587" s="1" t="str">
        <f t="shared" si="49"/>
        <v>Belvidere city</v>
      </c>
      <c r="K1587" s="1">
        <f>IF(COUNTIF($I$5:I1587,I1587)=1,1,0)</f>
        <v>0</v>
      </c>
    </row>
    <row r="1588" spans="1:11" x14ac:dyDescent="0.2">
      <c r="A1588" s="9">
        <v>1584</v>
      </c>
      <c r="B1588" s="5" t="s">
        <v>1583</v>
      </c>
      <c r="C1588" s="6">
        <v>25034</v>
      </c>
      <c r="D1588" s="6">
        <v>25039</v>
      </c>
      <c r="E1588" s="6">
        <v>25109</v>
      </c>
      <c r="F1588" s="6">
        <v>25197</v>
      </c>
      <c r="G1588" s="6">
        <v>25257</v>
      </c>
      <c r="H1588" s="6">
        <v>25313</v>
      </c>
      <c r="I1588" s="1" t="str">
        <f t="shared" si="48"/>
        <v xml:space="preserve"> Ohio</v>
      </c>
      <c r="J1588" s="1" t="str">
        <f t="shared" si="49"/>
        <v>Perrysburg city</v>
      </c>
      <c r="K1588" s="1">
        <f>IF(COUNTIF($I$5:I1588,I1588)=1,1,0)</f>
        <v>0</v>
      </c>
    </row>
    <row r="1589" spans="1:11" x14ac:dyDescent="0.2">
      <c r="A1589" s="9">
        <v>1585</v>
      </c>
      <c r="B1589" s="5" t="s">
        <v>1584</v>
      </c>
      <c r="C1589" s="6">
        <v>25754</v>
      </c>
      <c r="D1589" s="6">
        <v>25750</v>
      </c>
      <c r="E1589" s="6">
        <v>25337</v>
      </c>
      <c r="F1589" s="6">
        <v>25105</v>
      </c>
      <c r="G1589" s="6">
        <v>25064</v>
      </c>
      <c r="H1589" s="6">
        <v>25302</v>
      </c>
      <c r="I1589" s="1" t="str">
        <f t="shared" si="48"/>
        <v xml:space="preserve"> Washington</v>
      </c>
      <c r="J1589" s="1" t="str">
        <f t="shared" si="49"/>
        <v>Mercer Island city</v>
      </c>
      <c r="K1589" s="1">
        <f>IF(COUNTIF($I$5:I1589,I1589)=1,1,0)</f>
        <v>0</v>
      </c>
    </row>
    <row r="1590" spans="1:11" x14ac:dyDescent="0.2">
      <c r="A1590" s="9">
        <v>1586</v>
      </c>
      <c r="B1590" s="5" t="s">
        <v>1585</v>
      </c>
      <c r="C1590" s="6">
        <v>25279</v>
      </c>
      <c r="D1590" s="6">
        <v>25241</v>
      </c>
      <c r="E1590" s="6">
        <v>25063</v>
      </c>
      <c r="F1590" s="6">
        <v>25081</v>
      </c>
      <c r="G1590" s="6">
        <v>25203</v>
      </c>
      <c r="H1590" s="6">
        <v>25268</v>
      </c>
      <c r="I1590" s="1" t="str">
        <f t="shared" si="48"/>
        <v xml:space="preserve"> Texas</v>
      </c>
      <c r="J1590" s="1" t="str">
        <f t="shared" si="49"/>
        <v>University Park city</v>
      </c>
      <c r="K1590" s="1">
        <f>IF(COUNTIF($I$5:I1590,I1590)=1,1,0)</f>
        <v>0</v>
      </c>
    </row>
    <row r="1591" spans="1:11" x14ac:dyDescent="0.2">
      <c r="A1591" s="9">
        <v>1587</v>
      </c>
      <c r="B1591" s="5" t="s">
        <v>1586</v>
      </c>
      <c r="C1591" s="6">
        <v>25345</v>
      </c>
      <c r="D1591" s="6">
        <v>25558</v>
      </c>
      <c r="E1591" s="6">
        <v>25380</v>
      </c>
      <c r="F1591" s="6">
        <v>24981</v>
      </c>
      <c r="G1591" s="6">
        <v>25017</v>
      </c>
      <c r="H1591" s="6">
        <v>25248</v>
      </c>
      <c r="I1591" s="1" t="str">
        <f t="shared" si="48"/>
        <v xml:space="preserve"> Nebraska</v>
      </c>
      <c r="J1591" s="1" t="str">
        <f t="shared" si="49"/>
        <v>Papillion city</v>
      </c>
      <c r="K1591" s="1">
        <f>IF(COUNTIF($I$5:I1591,I1591)=1,1,0)</f>
        <v>0</v>
      </c>
    </row>
    <row r="1592" spans="1:11" x14ac:dyDescent="0.2">
      <c r="A1592" s="9">
        <v>1588</v>
      </c>
      <c r="B1592" s="5" t="s">
        <v>1587</v>
      </c>
      <c r="C1592" s="6">
        <v>23508</v>
      </c>
      <c r="D1592" s="6">
        <v>23570</v>
      </c>
      <c r="E1592" s="6">
        <v>24331</v>
      </c>
      <c r="F1592" s="6">
        <v>24675</v>
      </c>
      <c r="G1592" s="6">
        <v>25340</v>
      </c>
      <c r="H1592" s="6">
        <v>25242</v>
      </c>
      <c r="I1592" s="1" t="str">
        <f t="shared" si="48"/>
        <v xml:space="preserve"> Tennessee</v>
      </c>
      <c r="J1592" s="1" t="str">
        <f t="shared" si="49"/>
        <v>Farragut town</v>
      </c>
      <c r="K1592" s="1">
        <f>IF(COUNTIF($I$5:I1592,I1592)=1,1,0)</f>
        <v>0</v>
      </c>
    </row>
    <row r="1593" spans="1:11" x14ac:dyDescent="0.2">
      <c r="A1593" s="9">
        <v>1589</v>
      </c>
      <c r="B1593" s="5" t="s">
        <v>1588</v>
      </c>
      <c r="C1593" s="6">
        <v>26437</v>
      </c>
      <c r="D1593" s="6">
        <v>26360</v>
      </c>
      <c r="E1593" s="6">
        <v>25986</v>
      </c>
      <c r="F1593" s="6">
        <v>25685</v>
      </c>
      <c r="G1593" s="6">
        <v>25317</v>
      </c>
      <c r="H1593" s="6">
        <v>25240</v>
      </c>
      <c r="I1593" s="1" t="str">
        <f t="shared" si="48"/>
        <v xml:space="preserve"> Florida</v>
      </c>
      <c r="J1593" s="1" t="str">
        <f t="shared" si="49"/>
        <v>Key West city</v>
      </c>
      <c r="K1593" s="1">
        <f>IF(COUNTIF($I$5:I1593,I1593)=1,1,0)</f>
        <v>0</v>
      </c>
    </row>
    <row r="1594" spans="1:11" x14ac:dyDescent="0.2">
      <c r="A1594" s="9">
        <v>1589</v>
      </c>
      <c r="B1594" s="5" t="s">
        <v>1589</v>
      </c>
      <c r="C1594" s="6">
        <v>25354</v>
      </c>
      <c r="D1594" s="6">
        <v>25335</v>
      </c>
      <c r="E1594" s="6">
        <v>25265</v>
      </c>
      <c r="F1594" s="6">
        <v>25222</v>
      </c>
      <c r="G1594" s="6">
        <v>25196</v>
      </c>
      <c r="H1594" s="6">
        <v>25240</v>
      </c>
      <c r="I1594" s="1" t="str">
        <f t="shared" si="48"/>
        <v xml:space="preserve"> Wisconsin</v>
      </c>
      <c r="J1594" s="1" t="str">
        <f t="shared" si="49"/>
        <v>Caledonia village</v>
      </c>
      <c r="K1594" s="1">
        <f>IF(COUNTIF($I$5:I1594,I1594)=1,1,0)</f>
        <v>0</v>
      </c>
    </row>
    <row r="1595" spans="1:11" x14ac:dyDescent="0.2">
      <c r="A1595" s="9">
        <v>1591</v>
      </c>
      <c r="B1595" s="5" t="s">
        <v>1590</v>
      </c>
      <c r="C1595" s="6">
        <v>24067</v>
      </c>
      <c r="D1595" s="6">
        <v>24086</v>
      </c>
      <c r="E1595" s="6">
        <v>24286</v>
      </c>
      <c r="F1595" s="6">
        <v>24417</v>
      </c>
      <c r="G1595" s="6">
        <v>24989</v>
      </c>
      <c r="H1595" s="6">
        <v>25200</v>
      </c>
      <c r="I1595" s="1" t="str">
        <f t="shared" si="48"/>
        <v xml:space="preserve"> Maine</v>
      </c>
      <c r="J1595" s="1" t="str">
        <f t="shared" si="49"/>
        <v>Auburn city</v>
      </c>
      <c r="K1595" s="1">
        <f>IF(COUNTIF($I$5:I1595,I1595)=1,1,0)</f>
        <v>0</v>
      </c>
    </row>
    <row r="1596" spans="1:11" x14ac:dyDescent="0.2">
      <c r="A1596" s="9">
        <v>1592</v>
      </c>
      <c r="B1596" s="5" t="s">
        <v>1591</v>
      </c>
      <c r="C1596" s="6">
        <v>21290</v>
      </c>
      <c r="D1596" s="6">
        <v>21286</v>
      </c>
      <c r="E1596" s="6">
        <v>22324</v>
      </c>
      <c r="F1596" s="6">
        <v>22883</v>
      </c>
      <c r="G1596" s="6">
        <v>23771</v>
      </c>
      <c r="H1596" s="6">
        <v>25198</v>
      </c>
      <c r="I1596" s="1" t="str">
        <f t="shared" si="48"/>
        <v xml:space="preserve"> Washington</v>
      </c>
      <c r="J1596" s="1" t="str">
        <f t="shared" si="49"/>
        <v>Mountlake Terrace city</v>
      </c>
      <c r="K1596" s="1">
        <f>IF(COUNTIF($I$5:I1596,I1596)=1,1,0)</f>
        <v>0</v>
      </c>
    </row>
    <row r="1597" spans="1:11" x14ac:dyDescent="0.2">
      <c r="A1597" s="9">
        <v>1593</v>
      </c>
      <c r="B1597" s="5" t="s">
        <v>1592</v>
      </c>
      <c r="C1597" s="6">
        <v>24816</v>
      </c>
      <c r="D1597" s="6">
        <v>24918</v>
      </c>
      <c r="E1597" s="6">
        <v>25133</v>
      </c>
      <c r="F1597" s="6">
        <v>25152</v>
      </c>
      <c r="G1597" s="6">
        <v>25186</v>
      </c>
      <c r="H1597" s="6">
        <v>25197</v>
      </c>
      <c r="I1597" s="1" t="str">
        <f t="shared" si="48"/>
        <v xml:space="preserve"> California</v>
      </c>
      <c r="J1597" s="1" t="str">
        <f t="shared" si="49"/>
        <v>Loma Linda city</v>
      </c>
      <c r="K1597" s="1">
        <f>IF(COUNTIF($I$5:I1597,I1597)=1,1,0)</f>
        <v>0</v>
      </c>
    </row>
    <row r="1598" spans="1:11" x14ac:dyDescent="0.2">
      <c r="A1598" s="9">
        <v>1594</v>
      </c>
      <c r="B1598" s="5" t="s">
        <v>1593</v>
      </c>
      <c r="C1598" s="6">
        <v>24649</v>
      </c>
      <c r="D1598" s="6">
        <v>24588</v>
      </c>
      <c r="E1598" s="6">
        <v>24370</v>
      </c>
      <c r="F1598" s="6">
        <v>24217</v>
      </c>
      <c r="G1598" s="6">
        <v>25042</v>
      </c>
      <c r="H1598" s="6">
        <v>25180</v>
      </c>
      <c r="I1598" s="1" t="str">
        <f t="shared" si="48"/>
        <v xml:space="preserve"> Virginia</v>
      </c>
      <c r="J1598" s="1" t="str">
        <f t="shared" si="49"/>
        <v>Herndon town</v>
      </c>
      <c r="K1598" s="1">
        <f>IF(COUNTIF($I$5:I1598,I1598)=1,1,0)</f>
        <v>0</v>
      </c>
    </row>
    <row r="1599" spans="1:11" x14ac:dyDescent="0.2">
      <c r="A1599" s="9">
        <v>1595</v>
      </c>
      <c r="B1599" s="5" t="s">
        <v>1594</v>
      </c>
      <c r="C1599" s="6">
        <v>25136</v>
      </c>
      <c r="D1599" s="6">
        <v>25132</v>
      </c>
      <c r="E1599" s="6">
        <v>24942</v>
      </c>
      <c r="F1599" s="6">
        <v>24969</v>
      </c>
      <c r="G1599" s="6">
        <v>24887</v>
      </c>
      <c r="H1599" s="6">
        <v>25152</v>
      </c>
      <c r="I1599" s="1" t="str">
        <f t="shared" si="48"/>
        <v xml:space="preserve"> Nebraska</v>
      </c>
      <c r="J1599" s="1" t="str">
        <f t="shared" si="49"/>
        <v>Hastings city</v>
      </c>
      <c r="K1599" s="1">
        <f>IF(COUNTIF($I$5:I1599,I1599)=1,1,0)</f>
        <v>0</v>
      </c>
    </row>
    <row r="1600" spans="1:11" x14ac:dyDescent="0.2">
      <c r="A1600" s="9">
        <v>1596</v>
      </c>
      <c r="B1600" s="5" t="s">
        <v>1595</v>
      </c>
      <c r="C1600" s="6">
        <v>24297</v>
      </c>
      <c r="D1600" s="6">
        <v>24343</v>
      </c>
      <c r="E1600" s="6">
        <v>24544</v>
      </c>
      <c r="F1600" s="6">
        <v>24822</v>
      </c>
      <c r="G1600" s="6">
        <v>24960</v>
      </c>
      <c r="H1600" s="6">
        <v>25141</v>
      </c>
      <c r="I1600" s="1" t="str">
        <f t="shared" si="48"/>
        <v xml:space="preserve"> Texas</v>
      </c>
      <c r="J1600" s="1" t="str">
        <f t="shared" si="49"/>
        <v>Kerrville city</v>
      </c>
      <c r="K1600" s="1">
        <f>IF(COUNTIF($I$5:I1600,I1600)=1,1,0)</f>
        <v>0</v>
      </c>
    </row>
    <row r="1601" spans="1:11" x14ac:dyDescent="0.2">
      <c r="A1601" s="9">
        <v>1597</v>
      </c>
      <c r="B1601" s="5" t="s">
        <v>1596</v>
      </c>
      <c r="C1601" s="6">
        <v>24044</v>
      </c>
      <c r="D1601" s="6">
        <v>24093</v>
      </c>
      <c r="E1601" s="6">
        <v>24155</v>
      </c>
      <c r="F1601" s="6">
        <v>24314</v>
      </c>
      <c r="G1601" s="6">
        <v>24772</v>
      </c>
      <c r="H1601" s="6">
        <v>25126</v>
      </c>
      <c r="I1601" s="1" t="str">
        <f t="shared" si="48"/>
        <v xml:space="preserve"> Nebraska</v>
      </c>
      <c r="J1601" s="1" t="str">
        <f t="shared" si="49"/>
        <v>Columbus city</v>
      </c>
      <c r="K1601" s="1">
        <f>IF(COUNTIF($I$5:I1601,I1601)=1,1,0)</f>
        <v>0</v>
      </c>
    </row>
    <row r="1602" spans="1:11" x14ac:dyDescent="0.2">
      <c r="A1602" s="9">
        <v>1598</v>
      </c>
      <c r="B1602" s="5" t="s">
        <v>1597</v>
      </c>
      <c r="C1602" s="6">
        <v>26077</v>
      </c>
      <c r="D1602" s="6">
        <v>25980</v>
      </c>
      <c r="E1602" s="6">
        <v>25658</v>
      </c>
      <c r="F1602" s="6">
        <v>25294</v>
      </c>
      <c r="G1602" s="6">
        <v>25116</v>
      </c>
      <c r="H1602" s="6">
        <v>25108</v>
      </c>
      <c r="I1602" s="1" t="str">
        <f t="shared" si="48"/>
        <v xml:space="preserve"> Michigan</v>
      </c>
      <c r="J1602" s="1" t="str">
        <f t="shared" si="49"/>
        <v>Inkster city</v>
      </c>
      <c r="K1602" s="1">
        <f>IF(COUNTIF($I$5:I1602,I1602)=1,1,0)</f>
        <v>0</v>
      </c>
    </row>
    <row r="1603" spans="1:11" x14ac:dyDescent="0.2">
      <c r="A1603" s="9">
        <v>1599</v>
      </c>
      <c r="B1603" s="5" t="s">
        <v>1598</v>
      </c>
      <c r="C1603" s="6">
        <v>23156</v>
      </c>
      <c r="D1603" s="6">
        <v>23218</v>
      </c>
      <c r="E1603" s="6">
        <v>23296</v>
      </c>
      <c r="F1603" s="6">
        <v>23867</v>
      </c>
      <c r="G1603" s="6">
        <v>24921</v>
      </c>
      <c r="H1603" s="6">
        <v>25082</v>
      </c>
      <c r="I1603" s="1" t="str">
        <f t="shared" si="48"/>
        <v xml:space="preserve"> Georgia</v>
      </c>
      <c r="J1603" s="1" t="str">
        <f t="shared" si="49"/>
        <v>Cartersville city</v>
      </c>
      <c r="K1603" s="1">
        <f>IF(COUNTIF($I$5:I1603,I1603)=1,1,0)</f>
        <v>0</v>
      </c>
    </row>
    <row r="1604" spans="1:11" x14ac:dyDescent="0.2">
      <c r="A1604" s="9">
        <v>1600</v>
      </c>
      <c r="B1604" s="5" t="s">
        <v>1599</v>
      </c>
      <c r="C1604" s="6">
        <v>26070</v>
      </c>
      <c r="D1604" s="6">
        <v>26018</v>
      </c>
      <c r="E1604" s="6">
        <v>25598</v>
      </c>
      <c r="F1604" s="6">
        <v>25229</v>
      </c>
      <c r="G1604" s="6">
        <v>25019</v>
      </c>
      <c r="H1604" s="6">
        <v>25079</v>
      </c>
      <c r="I1604" s="1" t="str">
        <f t="shared" si="48"/>
        <v xml:space="preserve"> Alabama</v>
      </c>
      <c r="J1604" s="1" t="str">
        <f t="shared" si="49"/>
        <v>Bessemer city</v>
      </c>
      <c r="K1604" s="1">
        <f>IF(COUNTIF($I$5:I1604,I1604)=1,1,0)</f>
        <v>0</v>
      </c>
    </row>
    <row r="1605" spans="1:11" x14ac:dyDescent="0.2">
      <c r="A1605" s="9">
        <v>1601</v>
      </c>
      <c r="B1605" s="5" t="s">
        <v>1600</v>
      </c>
      <c r="C1605" s="6">
        <v>25034</v>
      </c>
      <c r="D1605" s="6">
        <v>25020</v>
      </c>
      <c r="E1605" s="6">
        <v>25077</v>
      </c>
      <c r="F1605" s="6">
        <v>25005</v>
      </c>
      <c r="G1605" s="6">
        <v>24988</v>
      </c>
      <c r="H1605" s="6">
        <v>25070</v>
      </c>
      <c r="I1605" s="1" t="str">
        <f t="shared" si="48"/>
        <v xml:space="preserve"> Michigan</v>
      </c>
      <c r="J1605" s="1" t="str">
        <f t="shared" si="49"/>
        <v>Norton Shores city</v>
      </c>
      <c r="K1605" s="1">
        <f>IF(COUNTIF($I$5:I1605,I1605)=1,1,0)</f>
        <v>0</v>
      </c>
    </row>
    <row r="1606" spans="1:11" x14ac:dyDescent="0.2">
      <c r="A1606" s="9">
        <v>1602</v>
      </c>
      <c r="B1606" s="5" t="s">
        <v>1601</v>
      </c>
      <c r="C1606" s="6">
        <v>23209</v>
      </c>
      <c r="D1606" s="6">
        <v>23233</v>
      </c>
      <c r="E1606" s="6">
        <v>23647</v>
      </c>
      <c r="F1606" s="6">
        <v>24027</v>
      </c>
      <c r="G1606" s="6">
        <v>24596</v>
      </c>
      <c r="H1606" s="6">
        <v>25067</v>
      </c>
      <c r="I1606" s="1" t="str">
        <f t="shared" ref="I1606:I1669" si="50">_xlfn.TEXTAFTER(B1606,",")</f>
        <v xml:space="preserve"> Florida</v>
      </c>
      <c r="J1606" s="1" t="str">
        <f t="shared" ref="J1606:J1669" si="51">_xlfn.TEXTBEFORE(B1606,", ")</f>
        <v>Eustis city</v>
      </c>
      <c r="K1606" s="1">
        <f>IF(COUNTIF($I$5:I1606,I1606)=1,1,0)</f>
        <v>0</v>
      </c>
    </row>
    <row r="1607" spans="1:11" x14ac:dyDescent="0.2">
      <c r="A1607" s="9">
        <v>1603</v>
      </c>
      <c r="B1607" s="5" t="s">
        <v>1602</v>
      </c>
      <c r="C1607" s="6">
        <v>24720</v>
      </c>
      <c r="D1607" s="6">
        <v>24730</v>
      </c>
      <c r="E1607" s="6">
        <v>24798</v>
      </c>
      <c r="F1607" s="6">
        <v>24856</v>
      </c>
      <c r="G1607" s="6">
        <v>24980</v>
      </c>
      <c r="H1607" s="6">
        <v>25064</v>
      </c>
      <c r="I1607" s="1" t="str">
        <f t="shared" si="50"/>
        <v xml:space="preserve"> Oklahoma</v>
      </c>
      <c r="J1607" s="1" t="str">
        <f t="shared" si="51"/>
        <v>Ardmore city</v>
      </c>
      <c r="K1607" s="1">
        <f>IF(COUNTIF($I$5:I1607,I1607)=1,1,0)</f>
        <v>0</v>
      </c>
    </row>
    <row r="1608" spans="1:11" x14ac:dyDescent="0.2">
      <c r="A1608" s="9">
        <v>1604</v>
      </c>
      <c r="B1608" s="5" t="s">
        <v>1603</v>
      </c>
      <c r="C1608" s="6">
        <v>24330</v>
      </c>
      <c r="D1608" s="6">
        <v>24283</v>
      </c>
      <c r="E1608" s="6">
        <v>24297</v>
      </c>
      <c r="F1608" s="6">
        <v>24287</v>
      </c>
      <c r="G1608" s="6">
        <v>24484</v>
      </c>
      <c r="H1608" s="6">
        <v>25062</v>
      </c>
      <c r="I1608" s="1" t="str">
        <f t="shared" si="50"/>
        <v xml:space="preserve"> New Jersey</v>
      </c>
      <c r="J1608" s="1" t="str">
        <f t="shared" si="51"/>
        <v>South Plainfield borough</v>
      </c>
      <c r="K1608" s="1">
        <f>IF(COUNTIF($I$5:I1608,I1608)=1,1,0)</f>
        <v>0</v>
      </c>
    </row>
    <row r="1609" spans="1:11" x14ac:dyDescent="0.2">
      <c r="A1609" s="9">
        <v>1605</v>
      </c>
      <c r="B1609" s="5" t="s">
        <v>1604</v>
      </c>
      <c r="C1609" s="6">
        <v>24475</v>
      </c>
      <c r="D1609" s="6">
        <v>24504</v>
      </c>
      <c r="E1609" s="6">
        <v>24649</v>
      </c>
      <c r="F1609" s="6">
        <v>24679</v>
      </c>
      <c r="G1609" s="6">
        <v>24941</v>
      </c>
      <c r="H1609" s="6">
        <v>25037</v>
      </c>
      <c r="I1609" s="1" t="str">
        <f t="shared" si="50"/>
        <v xml:space="preserve"> Texas</v>
      </c>
      <c r="J1609" s="1" t="str">
        <f t="shared" si="51"/>
        <v>Paris city</v>
      </c>
      <c r="K1609" s="1">
        <f>IF(COUNTIF($I$5:I1609,I1609)=1,1,0)</f>
        <v>0</v>
      </c>
    </row>
    <row r="1610" spans="1:11" x14ac:dyDescent="0.2">
      <c r="A1610" s="9">
        <v>1606</v>
      </c>
      <c r="B1610" s="5" t="s">
        <v>1605</v>
      </c>
      <c r="C1610" s="6">
        <v>23937</v>
      </c>
      <c r="D1610" s="6">
        <v>23992</v>
      </c>
      <c r="E1610" s="6">
        <v>24092</v>
      </c>
      <c r="F1610" s="6">
        <v>24225</v>
      </c>
      <c r="G1610" s="6">
        <v>24598</v>
      </c>
      <c r="H1610" s="6">
        <v>25022</v>
      </c>
      <c r="I1610" s="1" t="str">
        <f t="shared" si="50"/>
        <v xml:space="preserve"> Iowa</v>
      </c>
      <c r="J1610" s="1" t="str">
        <f t="shared" si="51"/>
        <v>Johnston city</v>
      </c>
      <c r="K1610" s="1">
        <f>IF(COUNTIF($I$5:I1610,I1610)=1,1,0)</f>
        <v>0</v>
      </c>
    </row>
    <row r="1611" spans="1:11" x14ac:dyDescent="0.2">
      <c r="A1611" s="9">
        <v>1607</v>
      </c>
      <c r="B1611" s="5" t="s">
        <v>1606</v>
      </c>
      <c r="C1611" s="6">
        <v>24463</v>
      </c>
      <c r="D1611" s="6">
        <v>24454</v>
      </c>
      <c r="E1611" s="6">
        <v>24454</v>
      </c>
      <c r="F1611" s="6">
        <v>24463</v>
      </c>
      <c r="G1611" s="6">
        <v>24808</v>
      </c>
      <c r="H1611" s="6">
        <v>24983</v>
      </c>
      <c r="I1611" s="1" t="str">
        <f t="shared" si="50"/>
        <v xml:space="preserve"> Minnesota</v>
      </c>
      <c r="J1611" s="1" t="str">
        <f t="shared" si="51"/>
        <v>Faribault city</v>
      </c>
      <c r="K1611" s="1">
        <f>IF(COUNTIF($I$5:I1611,I1611)=1,1,0)</f>
        <v>0</v>
      </c>
    </row>
    <row r="1612" spans="1:11" x14ac:dyDescent="0.2">
      <c r="A1612" s="9">
        <v>1608</v>
      </c>
      <c r="B1612" s="5" t="s">
        <v>1607</v>
      </c>
      <c r="C1612" s="6">
        <v>25686</v>
      </c>
      <c r="D1612" s="6">
        <v>25636</v>
      </c>
      <c r="E1612" s="6">
        <v>25454</v>
      </c>
      <c r="F1612" s="6">
        <v>25250</v>
      </c>
      <c r="G1612" s="6">
        <v>25094</v>
      </c>
      <c r="H1612" s="6">
        <v>24967</v>
      </c>
      <c r="I1612" s="1" t="str">
        <f t="shared" si="50"/>
        <v xml:space="preserve"> Illinois</v>
      </c>
      <c r="J1612" s="1" t="str">
        <f t="shared" si="51"/>
        <v>Alton city</v>
      </c>
      <c r="K1612" s="1">
        <f>IF(COUNTIF($I$5:I1612,I1612)=1,1,0)</f>
        <v>0</v>
      </c>
    </row>
    <row r="1613" spans="1:11" x14ac:dyDescent="0.2">
      <c r="A1613" s="9">
        <v>1609</v>
      </c>
      <c r="B1613" s="5" t="s">
        <v>1608</v>
      </c>
      <c r="C1613" s="6">
        <v>25455</v>
      </c>
      <c r="D1613" s="6">
        <v>25413</v>
      </c>
      <c r="E1613" s="6">
        <v>25227</v>
      </c>
      <c r="F1613" s="6">
        <v>25070</v>
      </c>
      <c r="G1613" s="6">
        <v>24945</v>
      </c>
      <c r="H1613" s="6">
        <v>24951</v>
      </c>
      <c r="I1613" s="1" t="str">
        <f t="shared" si="50"/>
        <v xml:space="preserve"> Missouri</v>
      </c>
      <c r="J1613" s="1" t="str">
        <f t="shared" si="51"/>
        <v>Hazelwood city</v>
      </c>
      <c r="K1613" s="1">
        <f>IF(COUNTIF($I$5:I1613,I1613)=1,1,0)</f>
        <v>0</v>
      </c>
    </row>
    <row r="1614" spans="1:11" x14ac:dyDescent="0.2">
      <c r="A1614" s="9">
        <v>1610</v>
      </c>
      <c r="B1614" s="5" t="s">
        <v>1609</v>
      </c>
      <c r="C1614" s="6">
        <v>23873</v>
      </c>
      <c r="D1614" s="6">
        <v>23846</v>
      </c>
      <c r="E1614" s="6">
        <v>23963</v>
      </c>
      <c r="F1614" s="6">
        <v>24045</v>
      </c>
      <c r="G1614" s="6">
        <v>24370</v>
      </c>
      <c r="H1614" s="6">
        <v>24921</v>
      </c>
      <c r="I1614" s="1" t="str">
        <f t="shared" si="50"/>
        <v xml:space="preserve"> Illinois</v>
      </c>
      <c r="J1614" s="1" t="str">
        <f t="shared" si="51"/>
        <v>South Elgin village</v>
      </c>
      <c r="K1614" s="1">
        <f>IF(COUNTIF($I$5:I1614,I1614)=1,1,0)</f>
        <v>0</v>
      </c>
    </row>
    <row r="1615" spans="1:11" x14ac:dyDescent="0.2">
      <c r="A1615" s="9">
        <v>1611</v>
      </c>
      <c r="B1615" s="5" t="s">
        <v>1610</v>
      </c>
      <c r="C1615" s="6">
        <v>24769</v>
      </c>
      <c r="D1615" s="6">
        <v>24776</v>
      </c>
      <c r="E1615" s="6">
        <v>24773</v>
      </c>
      <c r="F1615" s="6">
        <v>24597</v>
      </c>
      <c r="G1615" s="6">
        <v>24654</v>
      </c>
      <c r="H1615" s="6">
        <v>24916</v>
      </c>
      <c r="I1615" s="1" t="str">
        <f t="shared" si="50"/>
        <v xml:space="preserve"> Ohio</v>
      </c>
      <c r="J1615" s="1" t="str">
        <f t="shared" si="51"/>
        <v>Zanesville city</v>
      </c>
      <c r="K1615" s="1">
        <f>IF(COUNTIF($I$5:I1615,I1615)=1,1,0)</f>
        <v>0</v>
      </c>
    </row>
    <row r="1616" spans="1:11" x14ac:dyDescent="0.2">
      <c r="A1616" s="9">
        <v>1612</v>
      </c>
      <c r="B1616" s="5" t="s">
        <v>1611</v>
      </c>
      <c r="C1616" s="6">
        <v>25409</v>
      </c>
      <c r="D1616" s="6">
        <v>25411</v>
      </c>
      <c r="E1616" s="6">
        <v>25254</v>
      </c>
      <c r="F1616" s="6">
        <v>25075</v>
      </c>
      <c r="G1616" s="6">
        <v>24939</v>
      </c>
      <c r="H1616" s="6">
        <v>24897</v>
      </c>
      <c r="I1616" s="1" t="str">
        <f t="shared" si="50"/>
        <v xml:space="preserve"> California</v>
      </c>
      <c r="J1616" s="1" t="str">
        <f t="shared" si="51"/>
        <v>Barstow city</v>
      </c>
      <c r="K1616" s="1">
        <f>IF(COUNTIF($I$5:I1616,I1616)=1,1,0)</f>
        <v>0</v>
      </c>
    </row>
    <row r="1617" spans="1:11" x14ac:dyDescent="0.2">
      <c r="A1617" s="9">
        <v>1613</v>
      </c>
      <c r="B1617" s="5" t="s">
        <v>1612</v>
      </c>
      <c r="C1617" s="6">
        <v>27361</v>
      </c>
      <c r="D1617" s="6">
        <v>27295</v>
      </c>
      <c r="E1617" s="6">
        <v>25915</v>
      </c>
      <c r="F1617" s="6">
        <v>25435</v>
      </c>
      <c r="G1617" s="6">
        <v>24308</v>
      </c>
      <c r="H1617" s="6">
        <v>24891</v>
      </c>
      <c r="I1617" s="1" t="str">
        <f t="shared" si="50"/>
        <v xml:space="preserve"> Arizona</v>
      </c>
      <c r="J1617" s="1" t="str">
        <f t="shared" si="51"/>
        <v>Florence town</v>
      </c>
      <c r="K1617" s="1">
        <f>IF(COUNTIF($I$5:I1617,I1617)=1,1,0)</f>
        <v>0</v>
      </c>
    </row>
    <row r="1618" spans="1:11" x14ac:dyDescent="0.2">
      <c r="A1618" s="9">
        <v>1614</v>
      </c>
      <c r="B1618" s="5" t="s">
        <v>1613</v>
      </c>
      <c r="C1618" s="6">
        <v>24871</v>
      </c>
      <c r="D1618" s="6">
        <v>24864</v>
      </c>
      <c r="E1618" s="6">
        <v>25036</v>
      </c>
      <c r="F1618" s="6">
        <v>24705</v>
      </c>
      <c r="G1618" s="6">
        <v>24702</v>
      </c>
      <c r="H1618" s="6">
        <v>24886</v>
      </c>
      <c r="I1618" s="1" t="str">
        <f t="shared" si="50"/>
        <v xml:space="preserve"> Iowa</v>
      </c>
      <c r="J1618" s="1" t="str">
        <f t="shared" si="51"/>
        <v>Fort Dodge city</v>
      </c>
      <c r="K1618" s="1">
        <f>IF(COUNTIF($I$5:I1618,I1618)=1,1,0)</f>
        <v>0</v>
      </c>
    </row>
    <row r="1619" spans="1:11" x14ac:dyDescent="0.2">
      <c r="A1619" s="9">
        <v>1615</v>
      </c>
      <c r="B1619" s="5" t="s">
        <v>1614</v>
      </c>
      <c r="C1619" s="6">
        <v>25368</v>
      </c>
      <c r="D1619" s="6">
        <v>25321</v>
      </c>
      <c r="E1619" s="6">
        <v>25034</v>
      </c>
      <c r="F1619" s="6">
        <v>24871</v>
      </c>
      <c r="G1619" s="6">
        <v>24844</v>
      </c>
      <c r="H1619" s="6">
        <v>24884</v>
      </c>
      <c r="I1619" s="1" t="str">
        <f t="shared" si="50"/>
        <v xml:space="preserve"> Texas</v>
      </c>
      <c r="J1619" s="1" t="str">
        <f t="shared" si="51"/>
        <v>Kingsville city</v>
      </c>
      <c r="K1619" s="1">
        <f>IF(COUNTIF($I$5:I1619,I1619)=1,1,0)</f>
        <v>0</v>
      </c>
    </row>
    <row r="1620" spans="1:11" x14ac:dyDescent="0.2">
      <c r="A1620" s="9">
        <v>1616</v>
      </c>
      <c r="B1620" s="5" t="s">
        <v>1615</v>
      </c>
      <c r="C1620" s="6">
        <v>24543</v>
      </c>
      <c r="D1620" s="6">
        <v>24500</v>
      </c>
      <c r="E1620" s="6">
        <v>24550</v>
      </c>
      <c r="F1620" s="6">
        <v>24487</v>
      </c>
      <c r="G1620" s="6">
        <v>24625</v>
      </c>
      <c r="H1620" s="6">
        <v>24852</v>
      </c>
      <c r="I1620" s="1" t="str">
        <f t="shared" si="50"/>
        <v xml:space="preserve"> Illinois</v>
      </c>
      <c r="J1620" s="1" t="str">
        <f t="shared" si="51"/>
        <v>Homer Glen village</v>
      </c>
      <c r="K1620" s="1">
        <f>IF(COUNTIF($I$5:I1620,I1620)=1,1,0)</f>
        <v>0</v>
      </c>
    </row>
    <row r="1621" spans="1:11" x14ac:dyDescent="0.2">
      <c r="A1621" s="9">
        <v>1617</v>
      </c>
      <c r="B1621" s="5" t="s">
        <v>1616</v>
      </c>
      <c r="C1621" s="6">
        <v>24917</v>
      </c>
      <c r="D1621" s="6">
        <v>24865</v>
      </c>
      <c r="E1621" s="6">
        <v>24622</v>
      </c>
      <c r="F1621" s="6">
        <v>24527</v>
      </c>
      <c r="G1621" s="6">
        <v>24596</v>
      </c>
      <c r="H1621" s="6">
        <v>24843</v>
      </c>
      <c r="I1621" s="1" t="str">
        <f t="shared" si="50"/>
        <v xml:space="preserve"> Maryland</v>
      </c>
      <c r="J1621" s="1" t="str">
        <f t="shared" si="51"/>
        <v>Greenbelt city</v>
      </c>
      <c r="K1621" s="1">
        <f>IF(COUNTIF($I$5:I1621,I1621)=1,1,0)</f>
        <v>0</v>
      </c>
    </row>
    <row r="1622" spans="1:11" x14ac:dyDescent="0.2">
      <c r="A1622" s="9">
        <v>1618</v>
      </c>
      <c r="B1622" s="5" t="s">
        <v>1617</v>
      </c>
      <c r="C1622" s="6">
        <v>23842</v>
      </c>
      <c r="D1622" s="6">
        <v>23821</v>
      </c>
      <c r="E1622" s="6">
        <v>20700</v>
      </c>
      <c r="F1622" s="6">
        <v>22758</v>
      </c>
      <c r="G1622" s="6">
        <v>24751</v>
      </c>
      <c r="H1622" s="6">
        <v>24824</v>
      </c>
      <c r="I1622" s="1" t="str">
        <f t="shared" si="50"/>
        <v xml:space="preserve"> Ohio</v>
      </c>
      <c r="J1622" s="1" t="str">
        <f t="shared" si="51"/>
        <v>Athens city</v>
      </c>
      <c r="K1622" s="1">
        <f>IF(COUNTIF($I$5:I1622,I1622)=1,1,0)</f>
        <v>0</v>
      </c>
    </row>
    <row r="1623" spans="1:11" x14ac:dyDescent="0.2">
      <c r="A1623" s="9">
        <v>1619</v>
      </c>
      <c r="B1623" s="5" t="s">
        <v>1618</v>
      </c>
      <c r="C1623" s="6">
        <v>22488</v>
      </c>
      <c r="D1623" s="6">
        <v>22652</v>
      </c>
      <c r="E1623" s="6">
        <v>23179</v>
      </c>
      <c r="F1623" s="6">
        <v>23393</v>
      </c>
      <c r="G1623" s="6">
        <v>24302</v>
      </c>
      <c r="H1623" s="6">
        <v>24802</v>
      </c>
      <c r="I1623" s="1" t="str">
        <f t="shared" si="50"/>
        <v xml:space="preserve"> Texas</v>
      </c>
      <c r="J1623" s="1" t="str">
        <f t="shared" si="51"/>
        <v>Horizon City city</v>
      </c>
      <c r="K1623" s="1">
        <f>IF(COUNTIF($I$5:I1623,I1623)=1,1,0)</f>
        <v>0</v>
      </c>
    </row>
    <row r="1624" spans="1:11" x14ac:dyDescent="0.2">
      <c r="A1624" s="9">
        <v>1620</v>
      </c>
      <c r="B1624" s="5" t="s">
        <v>1619</v>
      </c>
      <c r="C1624" s="6">
        <v>20613</v>
      </c>
      <c r="D1624" s="6">
        <v>20933</v>
      </c>
      <c r="E1624" s="6">
        <v>22230</v>
      </c>
      <c r="F1624" s="6">
        <v>23485</v>
      </c>
      <c r="G1624" s="6">
        <v>24023</v>
      </c>
      <c r="H1624" s="6">
        <v>24792</v>
      </c>
      <c r="I1624" s="1" t="str">
        <f t="shared" si="50"/>
        <v xml:space="preserve"> Georgia</v>
      </c>
      <c r="J1624" s="1" t="str">
        <f t="shared" si="51"/>
        <v>Perry city</v>
      </c>
      <c r="K1624" s="1">
        <f>IF(COUNTIF($I$5:I1624,I1624)=1,1,0)</f>
        <v>0</v>
      </c>
    </row>
    <row r="1625" spans="1:11" x14ac:dyDescent="0.2">
      <c r="A1625" s="9">
        <v>1621</v>
      </c>
      <c r="B1625" s="5" t="s">
        <v>1620</v>
      </c>
      <c r="C1625" s="6">
        <v>24193</v>
      </c>
      <c r="D1625" s="6">
        <v>24223</v>
      </c>
      <c r="E1625" s="6">
        <v>24408</v>
      </c>
      <c r="F1625" s="6">
        <v>24511</v>
      </c>
      <c r="G1625" s="6">
        <v>24715</v>
      </c>
      <c r="H1625" s="6">
        <v>24788</v>
      </c>
      <c r="I1625" s="1" t="str">
        <f t="shared" si="50"/>
        <v xml:space="preserve"> North Dakota</v>
      </c>
      <c r="J1625" s="1" t="str">
        <f t="shared" si="51"/>
        <v>Mandan city</v>
      </c>
      <c r="K1625" s="1">
        <f>IF(COUNTIF($I$5:I1625,I1625)=1,1,0)</f>
        <v>0</v>
      </c>
    </row>
    <row r="1626" spans="1:11" x14ac:dyDescent="0.2">
      <c r="A1626" s="9">
        <v>1622</v>
      </c>
      <c r="B1626" s="5" t="s">
        <v>1621</v>
      </c>
      <c r="C1626" s="6">
        <v>24018</v>
      </c>
      <c r="D1626" s="6">
        <v>24070</v>
      </c>
      <c r="E1626" s="6">
        <v>24378</v>
      </c>
      <c r="F1626" s="6">
        <v>24529</v>
      </c>
      <c r="G1626" s="6">
        <v>24710</v>
      </c>
      <c r="H1626" s="6">
        <v>24753</v>
      </c>
      <c r="I1626" s="1" t="str">
        <f t="shared" si="50"/>
        <v xml:space="preserve"> Ohio</v>
      </c>
      <c r="J1626" s="1" t="str">
        <f t="shared" si="51"/>
        <v>Wadsworth city</v>
      </c>
      <c r="K1626" s="1">
        <f>IF(COUNTIF($I$5:I1626,I1626)=1,1,0)</f>
        <v>0</v>
      </c>
    </row>
    <row r="1627" spans="1:11" x14ac:dyDescent="0.2">
      <c r="A1627" s="9">
        <v>1622</v>
      </c>
      <c r="B1627" s="5" t="s">
        <v>1622</v>
      </c>
      <c r="C1627" s="6">
        <v>20126</v>
      </c>
      <c r="D1627" s="6">
        <v>20212</v>
      </c>
      <c r="E1627" s="6">
        <v>21254</v>
      </c>
      <c r="F1627" s="6">
        <v>22897</v>
      </c>
      <c r="G1627" s="6">
        <v>23766</v>
      </c>
      <c r="H1627" s="6">
        <v>24753</v>
      </c>
      <c r="I1627" s="1" t="str">
        <f t="shared" si="50"/>
        <v xml:space="preserve"> Texas</v>
      </c>
      <c r="J1627" s="1" t="str">
        <f t="shared" si="51"/>
        <v>Ennis city</v>
      </c>
      <c r="K1627" s="1">
        <f>IF(COUNTIF($I$5:I1627,I1627)=1,1,0)</f>
        <v>0</v>
      </c>
    </row>
    <row r="1628" spans="1:11" x14ac:dyDescent="0.2">
      <c r="A1628" s="9">
        <v>1622</v>
      </c>
      <c r="B1628" s="5" t="s">
        <v>1623</v>
      </c>
      <c r="C1628" s="6">
        <v>20036</v>
      </c>
      <c r="D1628" s="6">
        <v>20212</v>
      </c>
      <c r="E1628" s="6">
        <v>21821</v>
      </c>
      <c r="F1628" s="6">
        <v>23092</v>
      </c>
      <c r="G1628" s="6">
        <v>24001</v>
      </c>
      <c r="H1628" s="6">
        <v>24753</v>
      </c>
      <c r="I1628" s="1" t="str">
        <f t="shared" si="50"/>
        <v xml:space="preserve"> Utah</v>
      </c>
      <c r="J1628" s="1" t="str">
        <f t="shared" si="51"/>
        <v>Hurricane city</v>
      </c>
      <c r="K1628" s="1">
        <f>IF(COUNTIF($I$5:I1628,I1628)=1,1,0)</f>
        <v>0</v>
      </c>
    </row>
    <row r="1629" spans="1:11" x14ac:dyDescent="0.2">
      <c r="A1629" s="9">
        <v>1625</v>
      </c>
      <c r="B1629" s="5" t="s">
        <v>1624</v>
      </c>
      <c r="C1629" s="6">
        <v>21482</v>
      </c>
      <c r="D1629" s="6">
        <v>21655</v>
      </c>
      <c r="E1629" s="6">
        <v>22931</v>
      </c>
      <c r="F1629" s="6">
        <v>23700</v>
      </c>
      <c r="G1629" s="6">
        <v>24294</v>
      </c>
      <c r="H1629" s="6">
        <v>24735</v>
      </c>
      <c r="I1629" s="1" t="str">
        <f t="shared" si="50"/>
        <v xml:space="preserve"> Indiana</v>
      </c>
      <c r="J1629" s="1" t="str">
        <f t="shared" si="51"/>
        <v>Avon town</v>
      </c>
      <c r="K1629" s="1">
        <f>IF(COUNTIF($I$5:I1629,I1629)=1,1,0)</f>
        <v>0</v>
      </c>
    </row>
    <row r="1630" spans="1:11" x14ac:dyDescent="0.2">
      <c r="A1630" s="9">
        <v>1626</v>
      </c>
      <c r="B1630" s="5" t="s">
        <v>1625</v>
      </c>
      <c r="C1630" s="6">
        <v>24865</v>
      </c>
      <c r="D1630" s="6">
        <v>24843</v>
      </c>
      <c r="E1630" s="6">
        <v>24700</v>
      </c>
      <c r="F1630" s="6">
        <v>24690</v>
      </c>
      <c r="G1630" s="6">
        <v>24576</v>
      </c>
      <c r="H1630" s="6">
        <v>24712</v>
      </c>
      <c r="I1630" s="1" t="str">
        <f t="shared" si="50"/>
        <v xml:space="preserve"> Texas</v>
      </c>
      <c r="J1630" s="1" t="str">
        <f t="shared" si="51"/>
        <v>San Benito city</v>
      </c>
      <c r="K1630" s="1">
        <f>IF(COUNTIF($I$5:I1630,I1630)=1,1,0)</f>
        <v>0</v>
      </c>
    </row>
    <row r="1631" spans="1:11" x14ac:dyDescent="0.2">
      <c r="A1631" s="9">
        <v>1627</v>
      </c>
      <c r="B1631" s="5" t="s">
        <v>1626</v>
      </c>
      <c r="C1631" s="6">
        <v>21142</v>
      </c>
      <c r="D1631" s="6">
        <v>21336</v>
      </c>
      <c r="E1631" s="6">
        <v>22189</v>
      </c>
      <c r="F1631" s="6">
        <v>22623</v>
      </c>
      <c r="G1631" s="6">
        <v>24297</v>
      </c>
      <c r="H1631" s="6">
        <v>24666</v>
      </c>
      <c r="I1631" s="1" t="str">
        <f t="shared" si="50"/>
        <v xml:space="preserve"> Utah</v>
      </c>
      <c r="J1631" s="1" t="str">
        <f t="shared" si="51"/>
        <v>Payson city</v>
      </c>
      <c r="K1631" s="1">
        <f>IF(COUNTIF($I$5:I1631,I1631)=1,1,0)</f>
        <v>0</v>
      </c>
    </row>
    <row r="1632" spans="1:11" x14ac:dyDescent="0.2">
      <c r="A1632" s="9">
        <v>1628</v>
      </c>
      <c r="B1632" s="5" t="s">
        <v>1627</v>
      </c>
      <c r="C1632" s="6">
        <v>25173</v>
      </c>
      <c r="D1632" s="6">
        <v>25098</v>
      </c>
      <c r="E1632" s="6">
        <v>25002</v>
      </c>
      <c r="F1632" s="6">
        <v>24754</v>
      </c>
      <c r="G1632" s="6">
        <v>24649</v>
      </c>
      <c r="H1632" s="6">
        <v>24652</v>
      </c>
      <c r="I1632" s="1" t="str">
        <f t="shared" si="50"/>
        <v xml:space="preserve"> Michigan</v>
      </c>
      <c r="J1632" s="1" t="str">
        <f t="shared" si="51"/>
        <v>Romulus city</v>
      </c>
      <c r="K1632" s="1">
        <f>IF(COUNTIF($I$5:I1632,I1632)=1,1,0)</f>
        <v>0</v>
      </c>
    </row>
    <row r="1633" spans="1:11" x14ac:dyDescent="0.2">
      <c r="A1633" s="9">
        <v>1629</v>
      </c>
      <c r="B1633" s="5" t="s">
        <v>1628</v>
      </c>
      <c r="C1633" s="6">
        <v>25181</v>
      </c>
      <c r="D1633" s="6">
        <v>25139</v>
      </c>
      <c r="E1633" s="6">
        <v>25015</v>
      </c>
      <c r="F1633" s="6">
        <v>24863</v>
      </c>
      <c r="G1633" s="6">
        <v>24629</v>
      </c>
      <c r="H1633" s="6">
        <v>24624</v>
      </c>
      <c r="I1633" s="1" t="str">
        <f t="shared" si="50"/>
        <v xml:space="preserve"> Ohio</v>
      </c>
      <c r="J1633" s="1" t="str">
        <f t="shared" si="51"/>
        <v>Barberton city</v>
      </c>
      <c r="K1633" s="1">
        <f>IF(COUNTIF($I$5:I1633,I1633)=1,1,0)</f>
        <v>0</v>
      </c>
    </row>
    <row r="1634" spans="1:11" x14ac:dyDescent="0.2">
      <c r="A1634" s="9">
        <v>1630</v>
      </c>
      <c r="B1634" s="5" t="s">
        <v>1629</v>
      </c>
      <c r="C1634" s="6">
        <v>24825</v>
      </c>
      <c r="D1634" s="6">
        <v>24837</v>
      </c>
      <c r="E1634" s="6">
        <v>24723</v>
      </c>
      <c r="F1634" s="6">
        <v>24607</v>
      </c>
      <c r="G1634" s="6">
        <v>24402</v>
      </c>
      <c r="H1634" s="6">
        <v>24618</v>
      </c>
      <c r="I1634" s="1" t="str">
        <f t="shared" si="50"/>
        <v xml:space="preserve"> Washington</v>
      </c>
      <c r="J1634" s="1" t="str">
        <f t="shared" si="51"/>
        <v>Bainbridge Island city</v>
      </c>
      <c r="K1634" s="1">
        <f>IF(COUNTIF($I$5:I1634,I1634)=1,1,0)</f>
        <v>0</v>
      </c>
    </row>
    <row r="1635" spans="1:11" x14ac:dyDescent="0.2">
      <c r="A1635" s="9">
        <v>1631</v>
      </c>
      <c r="B1635" s="5" t="s">
        <v>1630</v>
      </c>
      <c r="C1635" s="6">
        <v>16720</v>
      </c>
      <c r="D1635" s="6">
        <v>17159</v>
      </c>
      <c r="E1635" s="6">
        <v>19775</v>
      </c>
      <c r="F1635" s="6">
        <v>22321</v>
      </c>
      <c r="G1635" s="6">
        <v>24018</v>
      </c>
      <c r="H1635" s="6">
        <v>24617</v>
      </c>
      <c r="I1635" s="1" t="str">
        <f t="shared" si="50"/>
        <v xml:space="preserve"> Utah</v>
      </c>
      <c r="J1635" s="1" t="str">
        <f t="shared" si="51"/>
        <v>West Haven city</v>
      </c>
      <c r="K1635" s="1">
        <f>IF(COUNTIF($I$5:I1635,I1635)=1,1,0)</f>
        <v>0</v>
      </c>
    </row>
    <row r="1636" spans="1:11" x14ac:dyDescent="0.2">
      <c r="A1636" s="9">
        <v>1632</v>
      </c>
      <c r="B1636" s="5" t="s">
        <v>1631</v>
      </c>
      <c r="C1636" s="6">
        <v>18515</v>
      </c>
      <c r="D1636" s="6">
        <v>18887</v>
      </c>
      <c r="E1636" s="6">
        <v>20374</v>
      </c>
      <c r="F1636" s="6">
        <v>22387</v>
      </c>
      <c r="G1636" s="6">
        <v>23743</v>
      </c>
      <c r="H1636" s="6">
        <v>24602</v>
      </c>
      <c r="I1636" s="1" t="str">
        <f t="shared" si="50"/>
        <v xml:space="preserve"> Florida</v>
      </c>
      <c r="J1636" s="1" t="str">
        <f t="shared" si="51"/>
        <v>Groveland city</v>
      </c>
      <c r="K1636" s="1">
        <f>IF(COUNTIF($I$5:I1636,I1636)=1,1,0)</f>
        <v>0</v>
      </c>
    </row>
    <row r="1637" spans="1:11" x14ac:dyDescent="0.2">
      <c r="A1637" s="9">
        <v>1633</v>
      </c>
      <c r="B1637" s="5" t="s">
        <v>1632</v>
      </c>
      <c r="C1637" s="6">
        <v>24782</v>
      </c>
      <c r="D1637" s="6">
        <v>24731</v>
      </c>
      <c r="E1637" s="6">
        <v>24632</v>
      </c>
      <c r="F1637" s="6">
        <v>24526</v>
      </c>
      <c r="G1637" s="6">
        <v>24507</v>
      </c>
      <c r="H1637" s="6">
        <v>24583</v>
      </c>
      <c r="I1637" s="1" t="str">
        <f t="shared" si="50"/>
        <v xml:space="preserve"> Illinois</v>
      </c>
      <c r="J1637" s="1" t="str">
        <f t="shared" si="51"/>
        <v>Zion city</v>
      </c>
      <c r="K1637" s="1">
        <f>IF(COUNTIF($I$5:I1637,I1637)=1,1,0)</f>
        <v>0</v>
      </c>
    </row>
    <row r="1638" spans="1:11" x14ac:dyDescent="0.2">
      <c r="A1638" s="9">
        <v>1634</v>
      </c>
      <c r="B1638" s="5" t="s">
        <v>1633</v>
      </c>
      <c r="C1638" s="6">
        <v>24666</v>
      </c>
      <c r="D1638" s="6">
        <v>24621</v>
      </c>
      <c r="E1638" s="6">
        <v>24493</v>
      </c>
      <c r="F1638" s="6">
        <v>24550</v>
      </c>
      <c r="G1638" s="6">
        <v>24596</v>
      </c>
      <c r="H1638" s="6">
        <v>24576</v>
      </c>
      <c r="I1638" s="1" t="str">
        <f t="shared" si="50"/>
        <v xml:space="preserve"> Mississippi</v>
      </c>
      <c r="J1638" s="1" t="str">
        <f t="shared" si="51"/>
        <v>Ridgeland city</v>
      </c>
      <c r="K1638" s="1">
        <f>IF(COUNTIF($I$5:I1638,I1638)=1,1,0)</f>
        <v>0</v>
      </c>
    </row>
    <row r="1639" spans="1:11" x14ac:dyDescent="0.2">
      <c r="A1639" s="9">
        <v>1635</v>
      </c>
      <c r="B1639" s="5" t="s">
        <v>1634</v>
      </c>
      <c r="C1639" s="6">
        <v>23382</v>
      </c>
      <c r="D1639" s="6">
        <v>23371</v>
      </c>
      <c r="E1639" s="6">
        <v>23556</v>
      </c>
      <c r="F1639" s="6">
        <v>23980</v>
      </c>
      <c r="G1639" s="6">
        <v>24272</v>
      </c>
      <c r="H1639" s="6">
        <v>24555</v>
      </c>
      <c r="I1639" s="1" t="str">
        <f t="shared" si="50"/>
        <v xml:space="preserve"> South Dakota</v>
      </c>
      <c r="J1639" s="1" t="str">
        <f t="shared" si="51"/>
        <v>Brookings city</v>
      </c>
      <c r="K1639" s="1">
        <f>IF(COUNTIF($I$5:I1639,I1639)=1,1,0)</f>
        <v>0</v>
      </c>
    </row>
    <row r="1640" spans="1:11" x14ac:dyDescent="0.2">
      <c r="A1640" s="9">
        <v>1636</v>
      </c>
      <c r="B1640" s="5" t="s">
        <v>1635</v>
      </c>
      <c r="C1640" s="6">
        <v>24528</v>
      </c>
      <c r="D1640" s="6">
        <v>24492</v>
      </c>
      <c r="E1640" s="6">
        <v>24643</v>
      </c>
      <c r="F1640" s="6">
        <v>24542</v>
      </c>
      <c r="G1640" s="6">
        <v>24541</v>
      </c>
      <c r="H1640" s="6">
        <v>24542</v>
      </c>
      <c r="I1640" s="1" t="str">
        <f t="shared" si="50"/>
        <v xml:space="preserve"> Texas</v>
      </c>
      <c r="J1640" s="1" t="str">
        <f t="shared" si="51"/>
        <v>Benbrook city</v>
      </c>
      <c r="K1640" s="1">
        <f>IF(COUNTIF($I$5:I1640,I1640)=1,1,0)</f>
        <v>0</v>
      </c>
    </row>
    <row r="1641" spans="1:11" x14ac:dyDescent="0.2">
      <c r="A1641" s="9">
        <v>1637</v>
      </c>
      <c r="B1641" s="5" t="s">
        <v>1636</v>
      </c>
      <c r="C1641" s="6">
        <v>24773</v>
      </c>
      <c r="D1641" s="6">
        <v>24769</v>
      </c>
      <c r="E1641" s="6">
        <v>24727</v>
      </c>
      <c r="F1641" s="6">
        <v>24659</v>
      </c>
      <c r="G1641" s="6">
        <v>24583</v>
      </c>
      <c r="H1641" s="6">
        <v>24505</v>
      </c>
      <c r="I1641" s="1" t="str">
        <f t="shared" si="50"/>
        <v xml:space="preserve"> California</v>
      </c>
      <c r="J1641" s="1" t="str">
        <f t="shared" si="51"/>
        <v>Selma city</v>
      </c>
      <c r="K1641" s="1">
        <f>IF(COUNTIF($I$5:I1641,I1641)=1,1,0)</f>
        <v>0</v>
      </c>
    </row>
    <row r="1642" spans="1:11" x14ac:dyDescent="0.2">
      <c r="A1642" s="9">
        <v>1638</v>
      </c>
      <c r="B1642" s="5" t="s">
        <v>1637</v>
      </c>
      <c r="C1642" s="6">
        <v>24938</v>
      </c>
      <c r="D1642" s="6">
        <v>24904</v>
      </c>
      <c r="E1642" s="6">
        <v>24335</v>
      </c>
      <c r="F1642" s="6">
        <v>24406</v>
      </c>
      <c r="G1642" s="6">
        <v>24523</v>
      </c>
      <c r="H1642" s="6">
        <v>24482</v>
      </c>
      <c r="I1642" s="1" t="str">
        <f t="shared" si="50"/>
        <v xml:space="preserve"> Georgia</v>
      </c>
      <c r="J1642" s="1" t="str">
        <f t="shared" si="51"/>
        <v>Decatur city</v>
      </c>
      <c r="K1642" s="1">
        <f>IF(COUNTIF($I$5:I1642,I1642)=1,1,0)</f>
        <v>0</v>
      </c>
    </row>
    <row r="1643" spans="1:11" x14ac:dyDescent="0.2">
      <c r="A1643" s="9">
        <v>1638</v>
      </c>
      <c r="B1643" s="5" t="s">
        <v>1638</v>
      </c>
      <c r="C1643" s="6">
        <v>25169</v>
      </c>
      <c r="D1643" s="6">
        <v>25114</v>
      </c>
      <c r="E1643" s="6">
        <v>25087</v>
      </c>
      <c r="F1643" s="6">
        <v>25050</v>
      </c>
      <c r="G1643" s="6">
        <v>24631</v>
      </c>
      <c r="H1643" s="6">
        <v>24482</v>
      </c>
      <c r="I1643" s="1" t="str">
        <f t="shared" si="50"/>
        <v xml:space="preserve"> Rhode Island</v>
      </c>
      <c r="J1643" s="1" t="str">
        <f t="shared" si="51"/>
        <v>Newport city</v>
      </c>
      <c r="K1643" s="1">
        <f>IF(COUNTIF($I$5:I1643,I1643)=1,1,0)</f>
        <v>0</v>
      </c>
    </row>
    <row r="1644" spans="1:11" x14ac:dyDescent="0.2">
      <c r="A1644" s="9">
        <v>1640</v>
      </c>
      <c r="B1644" s="5" t="s">
        <v>1639</v>
      </c>
      <c r="C1644" s="6">
        <v>24471</v>
      </c>
      <c r="D1644" s="6">
        <v>24473</v>
      </c>
      <c r="E1644" s="6">
        <v>24441</v>
      </c>
      <c r="F1644" s="6">
        <v>24371</v>
      </c>
      <c r="G1644" s="6">
        <v>24405</v>
      </c>
      <c r="H1644" s="6">
        <v>24472</v>
      </c>
      <c r="I1644" s="1" t="str">
        <f t="shared" si="50"/>
        <v xml:space="preserve"> Ohio</v>
      </c>
      <c r="J1644" s="1" t="str">
        <f t="shared" si="51"/>
        <v>Riverside city</v>
      </c>
      <c r="K1644" s="1">
        <f>IF(COUNTIF($I$5:I1644,I1644)=1,1,0)</f>
        <v>0</v>
      </c>
    </row>
    <row r="1645" spans="1:11" x14ac:dyDescent="0.2">
      <c r="A1645" s="9">
        <v>1641</v>
      </c>
      <c r="B1645" s="5" t="s">
        <v>1640</v>
      </c>
      <c r="C1645" s="6">
        <v>25295</v>
      </c>
      <c r="D1645" s="6">
        <v>25207</v>
      </c>
      <c r="E1645" s="6">
        <v>24735</v>
      </c>
      <c r="F1645" s="6">
        <v>24400</v>
      </c>
      <c r="G1645" s="6">
        <v>24319</v>
      </c>
      <c r="H1645" s="6">
        <v>24467</v>
      </c>
      <c r="I1645" s="1" t="str">
        <f t="shared" si="50"/>
        <v xml:space="preserve"> Illinois</v>
      </c>
      <c r="J1645" s="1" t="str">
        <f t="shared" si="51"/>
        <v>Morton Grove village</v>
      </c>
      <c r="K1645" s="1">
        <f>IF(COUNTIF($I$5:I1645,I1645)=1,1,0)</f>
        <v>0</v>
      </c>
    </row>
    <row r="1646" spans="1:11" x14ac:dyDescent="0.2">
      <c r="A1646" s="9">
        <v>1642</v>
      </c>
      <c r="B1646" s="5" t="s">
        <v>1641</v>
      </c>
      <c r="C1646" s="6">
        <v>23676</v>
      </c>
      <c r="D1646" s="6">
        <v>23656</v>
      </c>
      <c r="E1646" s="6">
        <v>23709</v>
      </c>
      <c r="F1646" s="6">
        <v>23642</v>
      </c>
      <c r="G1646" s="6">
        <v>23970</v>
      </c>
      <c r="H1646" s="6">
        <v>24464</v>
      </c>
      <c r="I1646" s="1" t="str">
        <f t="shared" si="50"/>
        <v xml:space="preserve"> Minnesota</v>
      </c>
      <c r="J1646" s="1" t="str">
        <f t="shared" si="51"/>
        <v>Farmington city</v>
      </c>
      <c r="K1646" s="1">
        <f>IF(COUNTIF($I$5:I1646,I1646)=1,1,0)</f>
        <v>0</v>
      </c>
    </row>
    <row r="1647" spans="1:11" x14ac:dyDescent="0.2">
      <c r="A1647" s="9">
        <v>1643</v>
      </c>
      <c r="B1647" s="5" t="s">
        <v>1642</v>
      </c>
      <c r="C1647" s="6">
        <v>22694</v>
      </c>
      <c r="D1647" s="6">
        <v>22757</v>
      </c>
      <c r="E1647" s="6">
        <v>22832</v>
      </c>
      <c r="F1647" s="6">
        <v>23029</v>
      </c>
      <c r="G1647" s="6">
        <v>23894</v>
      </c>
      <c r="H1647" s="6">
        <v>24450</v>
      </c>
      <c r="I1647" s="1" t="str">
        <f t="shared" si="50"/>
        <v xml:space="preserve"> Texas</v>
      </c>
      <c r="J1647" s="1" t="str">
        <f t="shared" si="51"/>
        <v>Corinth city</v>
      </c>
      <c r="K1647" s="1">
        <f>IF(COUNTIF($I$5:I1647,I1647)=1,1,0)</f>
        <v>0</v>
      </c>
    </row>
    <row r="1648" spans="1:11" x14ac:dyDescent="0.2">
      <c r="A1648" s="9">
        <v>1644</v>
      </c>
      <c r="B1648" s="5" t="s">
        <v>1643</v>
      </c>
      <c r="C1648" s="6">
        <v>25232</v>
      </c>
      <c r="D1648" s="6">
        <v>25191</v>
      </c>
      <c r="E1648" s="6">
        <v>24853</v>
      </c>
      <c r="F1648" s="6">
        <v>24665</v>
      </c>
      <c r="G1648" s="6">
        <v>24458</v>
      </c>
      <c r="H1648" s="6">
        <v>24421</v>
      </c>
      <c r="I1648" s="1" t="str">
        <f t="shared" si="50"/>
        <v xml:space="preserve"> California</v>
      </c>
      <c r="J1648" s="1" t="str">
        <f t="shared" si="51"/>
        <v>Seal Beach city</v>
      </c>
      <c r="K1648" s="1">
        <f>IF(COUNTIF($I$5:I1648,I1648)=1,1,0)</f>
        <v>0</v>
      </c>
    </row>
    <row r="1649" spans="1:11" x14ac:dyDescent="0.2">
      <c r="A1649" s="9">
        <v>1645</v>
      </c>
      <c r="B1649" s="5" t="s">
        <v>1644</v>
      </c>
      <c r="C1649" s="6">
        <v>23213</v>
      </c>
      <c r="D1649" s="6">
        <v>23241</v>
      </c>
      <c r="E1649" s="6">
        <v>23391</v>
      </c>
      <c r="F1649" s="6">
        <v>23719</v>
      </c>
      <c r="G1649" s="6">
        <v>24069</v>
      </c>
      <c r="H1649" s="6">
        <v>24396</v>
      </c>
      <c r="I1649" s="1" t="str">
        <f t="shared" si="50"/>
        <v xml:space="preserve"> Arkansas</v>
      </c>
      <c r="J1649" s="1" t="str">
        <f t="shared" si="51"/>
        <v>Van Buren city</v>
      </c>
      <c r="K1649" s="1">
        <f>IF(COUNTIF($I$5:I1649,I1649)=1,1,0)</f>
        <v>0</v>
      </c>
    </row>
    <row r="1650" spans="1:11" x14ac:dyDescent="0.2">
      <c r="A1650" s="9">
        <v>1646</v>
      </c>
      <c r="B1650" s="5" t="s">
        <v>1645</v>
      </c>
      <c r="C1650" s="6">
        <v>24140</v>
      </c>
      <c r="D1650" s="6">
        <v>24096</v>
      </c>
      <c r="E1650" s="6">
        <v>24031</v>
      </c>
      <c r="F1650" s="6">
        <v>24017</v>
      </c>
      <c r="G1650" s="6">
        <v>24183</v>
      </c>
      <c r="H1650" s="6">
        <v>24354</v>
      </c>
      <c r="I1650" s="1" t="str">
        <f t="shared" si="50"/>
        <v xml:space="preserve"> Kansas</v>
      </c>
      <c r="J1650" s="1" t="str">
        <f t="shared" si="51"/>
        <v>Emporia city</v>
      </c>
      <c r="K1650" s="1">
        <f>IF(COUNTIF($I$5:I1650,I1650)=1,1,0)</f>
        <v>0</v>
      </c>
    </row>
    <row r="1651" spans="1:11" x14ac:dyDescent="0.2">
      <c r="A1651" s="9">
        <v>1647</v>
      </c>
      <c r="B1651" s="5" t="s">
        <v>1646</v>
      </c>
      <c r="C1651" s="6">
        <v>23113</v>
      </c>
      <c r="D1651" s="6">
        <v>23146</v>
      </c>
      <c r="E1651" s="6">
        <v>23293</v>
      </c>
      <c r="F1651" s="6">
        <v>23574</v>
      </c>
      <c r="G1651" s="6">
        <v>23753</v>
      </c>
      <c r="H1651" s="6">
        <v>24334</v>
      </c>
      <c r="I1651" s="1" t="str">
        <f t="shared" si="50"/>
        <v xml:space="preserve"> Florida</v>
      </c>
      <c r="J1651" s="1" t="str">
        <f t="shared" si="51"/>
        <v>Edgewater city</v>
      </c>
      <c r="K1651" s="1">
        <f>IF(COUNTIF($I$5:I1651,I1651)=1,1,0)</f>
        <v>0</v>
      </c>
    </row>
    <row r="1652" spans="1:11" x14ac:dyDescent="0.2">
      <c r="A1652" s="9">
        <v>1648</v>
      </c>
      <c r="B1652" s="5" t="s">
        <v>1647</v>
      </c>
      <c r="C1652" s="6">
        <v>23156</v>
      </c>
      <c r="D1652" s="6">
        <v>23179</v>
      </c>
      <c r="E1652" s="6">
        <v>23439</v>
      </c>
      <c r="F1652" s="6">
        <v>23648</v>
      </c>
      <c r="G1652" s="6">
        <v>24015</v>
      </c>
      <c r="H1652" s="6">
        <v>24322</v>
      </c>
      <c r="I1652" s="1" t="str">
        <f t="shared" si="50"/>
        <v xml:space="preserve"> New Jersey</v>
      </c>
      <c r="J1652" s="1" t="str">
        <f t="shared" si="51"/>
        <v>Glassboro borough</v>
      </c>
      <c r="K1652" s="1">
        <f>IF(COUNTIF($I$5:I1652,I1652)=1,1,0)</f>
        <v>0</v>
      </c>
    </row>
    <row r="1653" spans="1:11" x14ac:dyDescent="0.2">
      <c r="A1653" s="9">
        <v>1649</v>
      </c>
      <c r="B1653" s="5" t="s">
        <v>1648</v>
      </c>
      <c r="C1653" s="6">
        <v>24464</v>
      </c>
      <c r="D1653" s="6">
        <v>24412</v>
      </c>
      <c r="E1653" s="6">
        <v>24232</v>
      </c>
      <c r="F1653" s="6">
        <v>24091</v>
      </c>
      <c r="G1653" s="6">
        <v>24141</v>
      </c>
      <c r="H1653" s="6">
        <v>24308</v>
      </c>
      <c r="I1653" s="1" t="str">
        <f t="shared" si="50"/>
        <v xml:space="preserve"> Illinois</v>
      </c>
      <c r="J1653" s="1" t="str">
        <f t="shared" si="51"/>
        <v>Westmont village</v>
      </c>
      <c r="K1653" s="1">
        <f>IF(COUNTIF($I$5:I1653,I1653)=1,1,0)</f>
        <v>0</v>
      </c>
    </row>
    <row r="1654" spans="1:11" x14ac:dyDescent="0.2">
      <c r="A1654" s="9">
        <v>1650</v>
      </c>
      <c r="B1654" s="5" t="s">
        <v>1649</v>
      </c>
      <c r="C1654" s="6">
        <v>23382</v>
      </c>
      <c r="D1654" s="6">
        <v>23346</v>
      </c>
      <c r="E1654" s="6">
        <v>23649</v>
      </c>
      <c r="F1654" s="6">
        <v>23704</v>
      </c>
      <c r="G1654" s="6">
        <v>24227</v>
      </c>
      <c r="H1654" s="6">
        <v>24263</v>
      </c>
      <c r="I1654" s="1" t="str">
        <f t="shared" si="50"/>
        <v xml:space="preserve"> Texas</v>
      </c>
      <c r="J1654" s="1" t="str">
        <f t="shared" si="51"/>
        <v>Marshall city</v>
      </c>
      <c r="K1654" s="1">
        <f>IF(COUNTIF($I$5:I1654,I1654)=1,1,0)</f>
        <v>0</v>
      </c>
    </row>
    <row r="1655" spans="1:11" x14ac:dyDescent="0.2">
      <c r="A1655" s="9">
        <v>1651</v>
      </c>
      <c r="B1655" s="5" t="s">
        <v>1650</v>
      </c>
      <c r="C1655" s="6">
        <v>20322</v>
      </c>
      <c r="D1655" s="6">
        <v>20522</v>
      </c>
      <c r="E1655" s="6">
        <v>21526</v>
      </c>
      <c r="F1655" s="6">
        <v>22833</v>
      </c>
      <c r="G1655" s="6">
        <v>23629</v>
      </c>
      <c r="H1655" s="6">
        <v>24250</v>
      </c>
      <c r="I1655" s="1" t="str">
        <f t="shared" si="50"/>
        <v xml:space="preserve"> Indiana</v>
      </c>
      <c r="J1655" s="1" t="str">
        <f t="shared" si="51"/>
        <v>St. John town</v>
      </c>
      <c r="K1655" s="1">
        <f>IF(COUNTIF($I$5:I1655,I1655)=1,1,0)</f>
        <v>0</v>
      </c>
    </row>
    <row r="1656" spans="1:11" x14ac:dyDescent="0.2">
      <c r="A1656" s="9">
        <v>1652</v>
      </c>
      <c r="B1656" s="5" t="s">
        <v>1651</v>
      </c>
      <c r="C1656" s="6">
        <v>24426</v>
      </c>
      <c r="D1656" s="6">
        <v>24371</v>
      </c>
      <c r="E1656" s="6">
        <v>24422</v>
      </c>
      <c r="F1656" s="6">
        <v>24384</v>
      </c>
      <c r="G1656" s="6">
        <v>24297</v>
      </c>
      <c r="H1656" s="6">
        <v>24234</v>
      </c>
      <c r="I1656" s="1" t="str">
        <f t="shared" si="50"/>
        <v xml:space="preserve"> Oklahoma</v>
      </c>
      <c r="J1656" s="1" t="str">
        <f t="shared" si="51"/>
        <v>Ponca City city</v>
      </c>
      <c r="K1656" s="1">
        <f>IF(COUNTIF($I$5:I1656,I1656)=1,1,0)</f>
        <v>0</v>
      </c>
    </row>
    <row r="1657" spans="1:11" x14ac:dyDescent="0.2">
      <c r="A1657" s="9">
        <v>1653</v>
      </c>
      <c r="B1657" s="5" t="s">
        <v>1652</v>
      </c>
      <c r="C1657" s="6">
        <v>25041</v>
      </c>
      <c r="D1657" s="6">
        <v>24900</v>
      </c>
      <c r="E1657" s="6">
        <v>24700</v>
      </c>
      <c r="F1657" s="6">
        <v>24370</v>
      </c>
      <c r="G1657" s="6">
        <v>24216</v>
      </c>
      <c r="H1657" s="6">
        <v>24214</v>
      </c>
      <c r="I1657" s="1" t="str">
        <f t="shared" si="50"/>
        <v xml:space="preserve"> Michigan</v>
      </c>
      <c r="J1657" s="1" t="str">
        <f t="shared" si="51"/>
        <v>Wyandotte city</v>
      </c>
      <c r="K1657" s="1">
        <f>IF(COUNTIF($I$5:I1657,I1657)=1,1,0)</f>
        <v>0</v>
      </c>
    </row>
    <row r="1658" spans="1:11" x14ac:dyDescent="0.2">
      <c r="A1658" s="9">
        <v>1654</v>
      </c>
      <c r="B1658" s="5" t="s">
        <v>1653</v>
      </c>
      <c r="C1658" s="6">
        <v>23858</v>
      </c>
      <c r="D1658" s="6">
        <v>23870</v>
      </c>
      <c r="E1658" s="6">
        <v>23843</v>
      </c>
      <c r="F1658" s="6">
        <v>24135</v>
      </c>
      <c r="G1658" s="6">
        <v>24192</v>
      </c>
      <c r="H1658" s="6">
        <v>24208</v>
      </c>
      <c r="I1658" s="1" t="str">
        <f t="shared" si="50"/>
        <v xml:space="preserve"> Ohio</v>
      </c>
      <c r="J1658" s="1" t="str">
        <f t="shared" si="51"/>
        <v>Willoughby city</v>
      </c>
      <c r="K1658" s="1">
        <f>IF(COUNTIF($I$5:I1658,I1658)=1,1,0)</f>
        <v>0</v>
      </c>
    </row>
    <row r="1659" spans="1:11" x14ac:dyDescent="0.2">
      <c r="A1659" s="9">
        <v>1655</v>
      </c>
      <c r="B1659" s="5" t="s">
        <v>1654</v>
      </c>
      <c r="C1659" s="6">
        <v>25147</v>
      </c>
      <c r="D1659" s="6">
        <v>25089</v>
      </c>
      <c r="E1659" s="6">
        <v>24853</v>
      </c>
      <c r="F1659" s="6">
        <v>24594</v>
      </c>
      <c r="G1659" s="6">
        <v>24322</v>
      </c>
      <c r="H1659" s="6">
        <v>24174</v>
      </c>
      <c r="I1659" s="1" t="str">
        <f t="shared" si="50"/>
        <v xml:space="preserve"> Ohio</v>
      </c>
      <c r="J1659" s="1" t="str">
        <f t="shared" si="51"/>
        <v>Sandusky city</v>
      </c>
      <c r="K1659" s="1">
        <f>IF(COUNTIF($I$5:I1659,I1659)=1,1,0)</f>
        <v>0</v>
      </c>
    </row>
    <row r="1660" spans="1:11" x14ac:dyDescent="0.2">
      <c r="A1660" s="9">
        <v>1656</v>
      </c>
      <c r="B1660" s="5" t="s">
        <v>1655</v>
      </c>
      <c r="C1660" s="6">
        <v>23916</v>
      </c>
      <c r="D1660" s="6">
        <v>23894</v>
      </c>
      <c r="E1660" s="6">
        <v>23546</v>
      </c>
      <c r="F1660" s="6">
        <v>23515</v>
      </c>
      <c r="G1660" s="6">
        <v>23672</v>
      </c>
      <c r="H1660" s="6">
        <v>24166</v>
      </c>
      <c r="I1660" s="1" t="str">
        <f t="shared" si="50"/>
        <v xml:space="preserve"> Washington</v>
      </c>
      <c r="J1660" s="1" t="str">
        <f t="shared" si="51"/>
        <v>Kenmore city</v>
      </c>
      <c r="K1660" s="1">
        <f>IF(COUNTIF($I$5:I1660,I1660)=1,1,0)</f>
        <v>0</v>
      </c>
    </row>
    <row r="1661" spans="1:11" x14ac:dyDescent="0.2">
      <c r="A1661" s="9">
        <v>1657</v>
      </c>
      <c r="B1661" s="5" t="s">
        <v>1656</v>
      </c>
      <c r="C1661" s="6">
        <v>24622</v>
      </c>
      <c r="D1661" s="6">
        <v>24628</v>
      </c>
      <c r="E1661" s="6">
        <v>24670</v>
      </c>
      <c r="F1661" s="6">
        <v>24283</v>
      </c>
      <c r="G1661" s="6">
        <v>24077</v>
      </c>
      <c r="H1661" s="6">
        <v>24163</v>
      </c>
      <c r="I1661" s="1" t="str">
        <f t="shared" si="50"/>
        <v xml:space="preserve"> Washington</v>
      </c>
      <c r="J1661" s="1" t="str">
        <f t="shared" si="51"/>
        <v>Oak Harbor city</v>
      </c>
      <c r="K1661" s="1">
        <f>IF(COUNTIF($I$5:I1661,I1661)=1,1,0)</f>
        <v>0</v>
      </c>
    </row>
    <row r="1662" spans="1:11" x14ac:dyDescent="0.2">
      <c r="A1662" s="9">
        <v>1658</v>
      </c>
      <c r="B1662" s="5" t="s">
        <v>1657</v>
      </c>
      <c r="C1662" s="6">
        <v>24467</v>
      </c>
      <c r="D1662" s="6">
        <v>24446</v>
      </c>
      <c r="E1662" s="6">
        <v>24463</v>
      </c>
      <c r="F1662" s="6">
        <v>24356</v>
      </c>
      <c r="G1662" s="6">
        <v>24230</v>
      </c>
      <c r="H1662" s="6">
        <v>24118</v>
      </c>
      <c r="I1662" s="1" t="str">
        <f t="shared" si="50"/>
        <v xml:space="preserve"> Iowa</v>
      </c>
      <c r="J1662" s="1" t="str">
        <f t="shared" si="51"/>
        <v>Clinton city</v>
      </c>
      <c r="K1662" s="1">
        <f>IF(COUNTIF($I$5:I1662,I1662)=1,1,0)</f>
        <v>0</v>
      </c>
    </row>
    <row r="1663" spans="1:11" x14ac:dyDescent="0.2">
      <c r="A1663" s="9">
        <v>1659</v>
      </c>
      <c r="B1663" s="5" t="s">
        <v>1658</v>
      </c>
      <c r="C1663" s="6">
        <v>24677</v>
      </c>
      <c r="D1663" s="6">
        <v>24553</v>
      </c>
      <c r="E1663" s="6">
        <v>24662</v>
      </c>
      <c r="F1663" s="6">
        <v>24410</v>
      </c>
      <c r="G1663" s="6">
        <v>24196</v>
      </c>
      <c r="H1663" s="6">
        <v>24038</v>
      </c>
      <c r="I1663" s="1" t="str">
        <f t="shared" si="50"/>
        <v xml:space="preserve"> New York</v>
      </c>
      <c r="J1663" s="1" t="str">
        <f t="shared" si="51"/>
        <v>Watertown city</v>
      </c>
      <c r="K1663" s="1">
        <f>IF(COUNTIF($I$5:I1663,I1663)=1,1,0)</f>
        <v>0</v>
      </c>
    </row>
    <row r="1664" spans="1:11" x14ac:dyDescent="0.2">
      <c r="A1664" s="9">
        <v>1660</v>
      </c>
      <c r="B1664" s="5" t="s">
        <v>1659</v>
      </c>
      <c r="C1664" s="6">
        <v>24801</v>
      </c>
      <c r="D1664" s="6">
        <v>24705</v>
      </c>
      <c r="E1664" s="6">
        <v>24245</v>
      </c>
      <c r="F1664" s="6">
        <v>23926</v>
      </c>
      <c r="G1664" s="6">
        <v>23854</v>
      </c>
      <c r="H1664" s="6">
        <v>23999</v>
      </c>
      <c r="I1664" s="1" t="str">
        <f t="shared" si="50"/>
        <v xml:space="preserve"> Illinois</v>
      </c>
      <c r="J1664" s="1" t="str">
        <f t="shared" si="51"/>
        <v>Melrose Park village</v>
      </c>
      <c r="K1664" s="1">
        <f>IF(COUNTIF($I$5:I1664,I1664)=1,1,0)</f>
        <v>0</v>
      </c>
    </row>
    <row r="1665" spans="1:11" x14ac:dyDescent="0.2">
      <c r="A1665" s="9">
        <v>1661</v>
      </c>
      <c r="B1665" s="5" t="s">
        <v>1660</v>
      </c>
      <c r="C1665" s="6">
        <v>22941</v>
      </c>
      <c r="D1665" s="6">
        <v>22961</v>
      </c>
      <c r="E1665" s="6">
        <v>22895</v>
      </c>
      <c r="F1665" s="6">
        <v>22937</v>
      </c>
      <c r="G1665" s="6">
        <v>23874</v>
      </c>
      <c r="H1665" s="6">
        <v>23997</v>
      </c>
      <c r="I1665" s="1" t="str">
        <f t="shared" si="50"/>
        <v xml:space="preserve"> Arkansas</v>
      </c>
      <c r="J1665" s="1" t="str">
        <f t="shared" si="51"/>
        <v>Searcy city</v>
      </c>
      <c r="K1665" s="1">
        <f>IF(COUNTIF($I$5:I1665,I1665)=1,1,0)</f>
        <v>0</v>
      </c>
    </row>
    <row r="1666" spans="1:11" x14ac:dyDescent="0.2">
      <c r="A1666" s="9">
        <v>1662</v>
      </c>
      <c r="B1666" s="5" t="s">
        <v>1661</v>
      </c>
      <c r="C1666" s="6">
        <v>23482</v>
      </c>
      <c r="D1666" s="6">
        <v>23451</v>
      </c>
      <c r="E1666" s="6">
        <v>23676</v>
      </c>
      <c r="F1666" s="6">
        <v>23678</v>
      </c>
      <c r="G1666" s="6">
        <v>24063</v>
      </c>
      <c r="H1666" s="6">
        <v>23994</v>
      </c>
      <c r="I1666" s="1" t="str">
        <f t="shared" si="50"/>
        <v xml:space="preserve"> Georgia</v>
      </c>
      <c r="J1666" s="1" t="str">
        <f t="shared" si="51"/>
        <v>Griffin city</v>
      </c>
      <c r="K1666" s="1">
        <f>IF(COUNTIF($I$5:I1666,I1666)=1,1,0)</f>
        <v>0</v>
      </c>
    </row>
    <row r="1667" spans="1:11" x14ac:dyDescent="0.2">
      <c r="A1667" s="9">
        <v>1663</v>
      </c>
      <c r="B1667" s="5" t="s">
        <v>1662</v>
      </c>
      <c r="C1667" s="6">
        <v>19918</v>
      </c>
      <c r="D1667" s="6">
        <v>20158</v>
      </c>
      <c r="E1667" s="6">
        <v>21144</v>
      </c>
      <c r="F1667" s="6">
        <v>22310</v>
      </c>
      <c r="G1667" s="6">
        <v>23349</v>
      </c>
      <c r="H1667" s="6">
        <v>23965</v>
      </c>
      <c r="I1667" s="1" t="str">
        <f t="shared" si="50"/>
        <v xml:space="preserve"> Oklahoma</v>
      </c>
      <c r="J1667" s="1" t="str">
        <f t="shared" si="51"/>
        <v>Mustang city</v>
      </c>
      <c r="K1667" s="1">
        <f>IF(COUNTIF($I$5:I1667,I1667)=1,1,0)</f>
        <v>0</v>
      </c>
    </row>
    <row r="1668" spans="1:11" x14ac:dyDescent="0.2">
      <c r="A1668" s="9">
        <v>1664</v>
      </c>
      <c r="B1668" s="5" t="s">
        <v>1663</v>
      </c>
      <c r="C1668" s="6">
        <v>22333</v>
      </c>
      <c r="D1668" s="6">
        <v>22336</v>
      </c>
      <c r="E1668" s="6">
        <v>22939</v>
      </c>
      <c r="F1668" s="6">
        <v>23191</v>
      </c>
      <c r="G1668" s="6">
        <v>23723</v>
      </c>
      <c r="H1668" s="6">
        <v>23959</v>
      </c>
      <c r="I1668" s="1" t="str">
        <f t="shared" si="50"/>
        <v xml:space="preserve"> Iowa</v>
      </c>
      <c r="J1668" s="1" t="str">
        <f t="shared" si="51"/>
        <v>Coralville city</v>
      </c>
      <c r="K1668" s="1">
        <f>IF(COUNTIF($I$5:I1668,I1668)=1,1,0)</f>
        <v>0</v>
      </c>
    </row>
    <row r="1669" spans="1:11" x14ac:dyDescent="0.2">
      <c r="A1669" s="9">
        <v>1665</v>
      </c>
      <c r="B1669" s="5" t="s">
        <v>1664</v>
      </c>
      <c r="C1669" s="6">
        <v>19968</v>
      </c>
      <c r="D1669" s="6">
        <v>20177</v>
      </c>
      <c r="E1669" s="6">
        <v>21425</v>
      </c>
      <c r="F1669" s="6">
        <v>22440</v>
      </c>
      <c r="G1669" s="6">
        <v>23272</v>
      </c>
      <c r="H1669" s="6">
        <v>23875</v>
      </c>
      <c r="I1669" s="1" t="str">
        <f t="shared" si="50"/>
        <v xml:space="preserve"> Minnesota</v>
      </c>
      <c r="J1669" s="1" t="str">
        <f t="shared" si="51"/>
        <v>Otsego city</v>
      </c>
      <c r="K1669" s="1">
        <f>IF(COUNTIF($I$5:I1669,I1669)=1,1,0)</f>
        <v>0</v>
      </c>
    </row>
    <row r="1670" spans="1:11" x14ac:dyDescent="0.2">
      <c r="A1670" s="9">
        <v>1665</v>
      </c>
      <c r="B1670" s="5" t="s">
        <v>1665</v>
      </c>
      <c r="C1670" s="6">
        <v>24260</v>
      </c>
      <c r="D1670" s="6">
        <v>24222</v>
      </c>
      <c r="E1670" s="6">
        <v>23998</v>
      </c>
      <c r="F1670" s="6">
        <v>23840</v>
      </c>
      <c r="G1670" s="6">
        <v>23813</v>
      </c>
      <c r="H1670" s="6">
        <v>23875</v>
      </c>
      <c r="I1670" s="1" t="str">
        <f t="shared" ref="I1670:I1733" si="52">_xlfn.TEXTAFTER(B1670,",")</f>
        <v xml:space="preserve"> Ohio</v>
      </c>
      <c r="J1670" s="1" t="str">
        <f t="shared" ref="J1670:J1733" si="53">_xlfn.TEXTBEFORE(B1670,", ")</f>
        <v>Solon city</v>
      </c>
      <c r="K1670" s="1">
        <f>IF(COUNTIF($I$5:I1670,I1670)=1,1,0)</f>
        <v>0</v>
      </c>
    </row>
    <row r="1671" spans="1:11" x14ac:dyDescent="0.2">
      <c r="A1671" s="9">
        <v>1667</v>
      </c>
      <c r="B1671" s="5" t="s">
        <v>1666</v>
      </c>
      <c r="C1671" s="6">
        <v>25125</v>
      </c>
      <c r="D1671" s="6">
        <v>25044</v>
      </c>
      <c r="E1671" s="6">
        <v>24534</v>
      </c>
      <c r="F1671" s="6">
        <v>24202</v>
      </c>
      <c r="G1671" s="6">
        <v>23968</v>
      </c>
      <c r="H1671" s="6">
        <v>23838</v>
      </c>
      <c r="I1671" s="1" t="str">
        <f t="shared" si="52"/>
        <v xml:space="preserve"> California</v>
      </c>
      <c r="J1671" s="1" t="str">
        <f t="shared" si="53"/>
        <v>Maywood city</v>
      </c>
      <c r="K1671" s="1">
        <f>IF(COUNTIF($I$5:I1671,I1671)=1,1,0)</f>
        <v>0</v>
      </c>
    </row>
    <row r="1672" spans="1:11" x14ac:dyDescent="0.2">
      <c r="A1672" s="9">
        <v>1668</v>
      </c>
      <c r="B1672" s="5" t="s">
        <v>1667</v>
      </c>
      <c r="C1672" s="6">
        <v>23656</v>
      </c>
      <c r="D1672" s="6">
        <v>23669</v>
      </c>
      <c r="E1672" s="6">
        <v>23832</v>
      </c>
      <c r="F1672" s="6">
        <v>23824</v>
      </c>
      <c r="G1672" s="6">
        <v>23845</v>
      </c>
      <c r="H1672" s="6">
        <v>23795</v>
      </c>
      <c r="I1672" s="1" t="str">
        <f t="shared" si="52"/>
        <v xml:space="preserve"> Oregon</v>
      </c>
      <c r="J1672" s="1" t="str">
        <f t="shared" si="53"/>
        <v>Roseburg city</v>
      </c>
      <c r="K1672" s="1">
        <f>IF(COUNTIF($I$5:I1672,I1672)=1,1,0)</f>
        <v>0</v>
      </c>
    </row>
    <row r="1673" spans="1:11" x14ac:dyDescent="0.2">
      <c r="A1673" s="9">
        <v>1669</v>
      </c>
      <c r="B1673" s="5" t="s">
        <v>1668</v>
      </c>
      <c r="C1673" s="6">
        <v>24408</v>
      </c>
      <c r="D1673" s="6">
        <v>24368</v>
      </c>
      <c r="E1673" s="6">
        <v>24206</v>
      </c>
      <c r="F1673" s="6">
        <v>24016</v>
      </c>
      <c r="G1673" s="6">
        <v>23880</v>
      </c>
      <c r="H1673" s="6">
        <v>23766</v>
      </c>
      <c r="I1673" s="1" t="str">
        <f t="shared" si="52"/>
        <v xml:space="preserve"> Illinois</v>
      </c>
      <c r="J1673" s="1" t="str">
        <f t="shared" si="53"/>
        <v>Collinsville city</v>
      </c>
      <c r="K1673" s="1">
        <f>IF(COUNTIF($I$5:I1673,I1673)=1,1,0)</f>
        <v>0</v>
      </c>
    </row>
    <row r="1674" spans="1:11" x14ac:dyDescent="0.2">
      <c r="A1674" s="9">
        <v>1670</v>
      </c>
      <c r="B1674" s="5" t="s">
        <v>1669</v>
      </c>
      <c r="C1674" s="6">
        <v>24040</v>
      </c>
      <c r="D1674" s="6">
        <v>23981</v>
      </c>
      <c r="E1674" s="6">
        <v>24149</v>
      </c>
      <c r="F1674" s="6">
        <v>23864</v>
      </c>
      <c r="G1674" s="6">
        <v>23816</v>
      </c>
      <c r="H1674" s="6">
        <v>23748</v>
      </c>
      <c r="I1674" s="1" t="str">
        <f t="shared" si="52"/>
        <v xml:space="preserve"> New York</v>
      </c>
      <c r="J1674" s="1" t="str">
        <f t="shared" si="53"/>
        <v>Kingston city</v>
      </c>
      <c r="K1674" s="1">
        <f>IF(COUNTIF($I$5:I1674,I1674)=1,1,0)</f>
        <v>0</v>
      </c>
    </row>
    <row r="1675" spans="1:11" x14ac:dyDescent="0.2">
      <c r="A1675" s="9">
        <v>1671</v>
      </c>
      <c r="B1675" s="5" t="s">
        <v>1670</v>
      </c>
      <c r="C1675" s="6">
        <v>24274</v>
      </c>
      <c r="D1675" s="6">
        <v>24182</v>
      </c>
      <c r="E1675" s="6">
        <v>23864</v>
      </c>
      <c r="F1675" s="6">
        <v>23671</v>
      </c>
      <c r="G1675" s="6">
        <v>23590</v>
      </c>
      <c r="H1675" s="6">
        <v>23732</v>
      </c>
      <c r="I1675" s="1" t="str">
        <f t="shared" si="52"/>
        <v xml:space="preserve"> Illinois</v>
      </c>
      <c r="J1675" s="1" t="str">
        <f t="shared" si="53"/>
        <v>Rolling Meadows city</v>
      </c>
      <c r="K1675" s="1">
        <f>IF(COUNTIF($I$5:I1675,I1675)=1,1,0)</f>
        <v>0</v>
      </c>
    </row>
    <row r="1676" spans="1:11" x14ac:dyDescent="0.2">
      <c r="A1676" s="9">
        <v>1672</v>
      </c>
      <c r="B1676" s="5" t="s">
        <v>1671</v>
      </c>
      <c r="C1676" s="6">
        <v>23393</v>
      </c>
      <c r="D1676" s="6">
        <v>23463</v>
      </c>
      <c r="E1676" s="6">
        <v>23663</v>
      </c>
      <c r="F1676" s="6">
        <v>23569</v>
      </c>
      <c r="G1676" s="6">
        <v>23664</v>
      </c>
      <c r="H1676" s="6">
        <v>23728</v>
      </c>
      <c r="I1676" s="1" t="str">
        <f t="shared" si="52"/>
        <v xml:space="preserve"> Utah</v>
      </c>
      <c r="J1676" s="1" t="str">
        <f t="shared" si="53"/>
        <v>Clinton city</v>
      </c>
      <c r="K1676" s="1">
        <f>IF(COUNTIF($I$5:I1676,I1676)=1,1,0)</f>
        <v>0</v>
      </c>
    </row>
    <row r="1677" spans="1:11" x14ac:dyDescent="0.2">
      <c r="A1677" s="9">
        <v>1673</v>
      </c>
      <c r="B1677" s="5" t="s">
        <v>1672</v>
      </c>
      <c r="C1677" s="6">
        <v>24526</v>
      </c>
      <c r="D1677" s="6">
        <v>24428</v>
      </c>
      <c r="E1677" s="6">
        <v>23970</v>
      </c>
      <c r="F1677" s="6">
        <v>23641</v>
      </c>
      <c r="G1677" s="6">
        <v>23561</v>
      </c>
      <c r="H1677" s="6">
        <v>23698</v>
      </c>
      <c r="I1677" s="1" t="str">
        <f t="shared" si="52"/>
        <v xml:space="preserve"> Illinois</v>
      </c>
      <c r="J1677" s="1" t="str">
        <f t="shared" si="53"/>
        <v>Elmwood Park village</v>
      </c>
      <c r="K1677" s="1">
        <f>IF(COUNTIF($I$5:I1677,I1677)=1,1,0)</f>
        <v>0</v>
      </c>
    </row>
    <row r="1678" spans="1:11" x14ac:dyDescent="0.2">
      <c r="A1678" s="9">
        <v>1674</v>
      </c>
      <c r="B1678" s="5" t="s">
        <v>1673</v>
      </c>
      <c r="C1678" s="6">
        <v>23818</v>
      </c>
      <c r="D1678" s="6">
        <v>23873</v>
      </c>
      <c r="E1678" s="6">
        <v>23852</v>
      </c>
      <c r="F1678" s="6">
        <v>23788</v>
      </c>
      <c r="G1678" s="6">
        <v>23715</v>
      </c>
      <c r="H1678" s="6">
        <v>23696</v>
      </c>
      <c r="I1678" s="1" t="str">
        <f t="shared" si="52"/>
        <v xml:space="preserve"> Arizona</v>
      </c>
      <c r="J1678" s="1" t="str">
        <f t="shared" si="53"/>
        <v>Fountain Hills town</v>
      </c>
      <c r="K1678" s="1">
        <f>IF(COUNTIF($I$5:I1678,I1678)=1,1,0)</f>
        <v>0</v>
      </c>
    </row>
    <row r="1679" spans="1:11" x14ac:dyDescent="0.2">
      <c r="A1679" s="9">
        <v>1675</v>
      </c>
      <c r="B1679" s="5" t="s">
        <v>1674</v>
      </c>
      <c r="C1679" s="6">
        <v>24022</v>
      </c>
      <c r="D1679" s="6">
        <v>23968</v>
      </c>
      <c r="E1679" s="6">
        <v>23769</v>
      </c>
      <c r="F1679" s="6">
        <v>23606</v>
      </c>
      <c r="G1679" s="6">
        <v>23659</v>
      </c>
      <c r="H1679" s="6">
        <v>23637</v>
      </c>
      <c r="I1679" s="1" t="str">
        <f t="shared" si="52"/>
        <v xml:space="preserve"> Iowa</v>
      </c>
      <c r="J1679" s="1" t="str">
        <f t="shared" si="53"/>
        <v>Burlington city</v>
      </c>
      <c r="K1679" s="1">
        <f>IF(COUNTIF($I$5:I1679,I1679)=1,1,0)</f>
        <v>0</v>
      </c>
    </row>
    <row r="1680" spans="1:11" x14ac:dyDescent="0.2">
      <c r="A1680" s="9">
        <v>1676</v>
      </c>
      <c r="B1680" s="5" t="s">
        <v>1675</v>
      </c>
      <c r="C1680" s="6">
        <v>23398</v>
      </c>
      <c r="D1680" s="6">
        <v>23400</v>
      </c>
      <c r="E1680" s="6">
        <v>23343</v>
      </c>
      <c r="F1680" s="6">
        <v>23350</v>
      </c>
      <c r="G1680" s="6">
        <v>23431</v>
      </c>
      <c r="H1680" s="6">
        <v>23636</v>
      </c>
      <c r="I1680" s="1" t="str">
        <f t="shared" si="52"/>
        <v xml:space="preserve"> Illinois</v>
      </c>
      <c r="J1680" s="1" t="str">
        <f t="shared" si="53"/>
        <v>Loves Park city</v>
      </c>
      <c r="K1680" s="1">
        <f>IF(COUNTIF($I$5:I1680,I1680)=1,1,0)</f>
        <v>0</v>
      </c>
    </row>
    <row r="1681" spans="1:11" x14ac:dyDescent="0.2">
      <c r="A1681" s="9">
        <v>1677</v>
      </c>
      <c r="B1681" s="5" t="s">
        <v>1676</v>
      </c>
      <c r="C1681" s="6">
        <v>23895</v>
      </c>
      <c r="D1681" s="6">
        <v>23886</v>
      </c>
      <c r="E1681" s="6">
        <v>23770</v>
      </c>
      <c r="F1681" s="6">
        <v>23682</v>
      </c>
      <c r="G1681" s="6">
        <v>23615</v>
      </c>
      <c r="H1681" s="6">
        <v>23634</v>
      </c>
      <c r="I1681" s="1" t="str">
        <f t="shared" si="52"/>
        <v xml:space="preserve"> Indiana</v>
      </c>
      <c r="J1681" s="1" t="str">
        <f t="shared" si="53"/>
        <v>Munster town</v>
      </c>
      <c r="K1681" s="1">
        <f>IF(COUNTIF($I$5:I1681,I1681)=1,1,0)</f>
        <v>0</v>
      </c>
    </row>
    <row r="1682" spans="1:11" x14ac:dyDescent="0.2">
      <c r="A1682" s="9">
        <v>1678</v>
      </c>
      <c r="B1682" s="5" t="s">
        <v>1677</v>
      </c>
      <c r="C1682" s="6">
        <v>23830</v>
      </c>
      <c r="D1682" s="6">
        <v>23814</v>
      </c>
      <c r="E1682" s="6">
        <v>23553</v>
      </c>
      <c r="F1682" s="6">
        <v>23633</v>
      </c>
      <c r="G1682" s="6">
        <v>23648</v>
      </c>
      <c r="H1682" s="6">
        <v>23630</v>
      </c>
      <c r="I1682" s="1" t="str">
        <f t="shared" si="52"/>
        <v xml:space="preserve"> Florida</v>
      </c>
      <c r="J1682" s="1" t="str">
        <f t="shared" si="53"/>
        <v>Jacksonville Beach city</v>
      </c>
      <c r="K1682" s="1">
        <f>IF(COUNTIF($I$5:I1682,I1682)=1,1,0)</f>
        <v>0</v>
      </c>
    </row>
    <row r="1683" spans="1:11" x14ac:dyDescent="0.2">
      <c r="A1683" s="9">
        <v>1679</v>
      </c>
      <c r="B1683" s="5" t="s">
        <v>1678</v>
      </c>
      <c r="C1683" s="6">
        <v>20456</v>
      </c>
      <c r="D1683" s="6">
        <v>20608</v>
      </c>
      <c r="E1683" s="6">
        <v>21183</v>
      </c>
      <c r="F1683" s="6">
        <v>21950</v>
      </c>
      <c r="G1683" s="6">
        <v>22936</v>
      </c>
      <c r="H1683" s="6">
        <v>23599</v>
      </c>
      <c r="I1683" s="1" t="str">
        <f t="shared" si="52"/>
        <v xml:space="preserve"> Nevada</v>
      </c>
      <c r="J1683" s="1" t="str">
        <f t="shared" si="53"/>
        <v>Mesquite city</v>
      </c>
      <c r="K1683" s="1">
        <f>IF(COUNTIF($I$5:I1683,I1683)=1,1,0)</f>
        <v>0</v>
      </c>
    </row>
    <row r="1684" spans="1:11" x14ac:dyDescent="0.2">
      <c r="A1684" s="9">
        <v>1680</v>
      </c>
      <c r="B1684" s="5" t="s">
        <v>1679</v>
      </c>
      <c r="C1684" s="6">
        <v>23018</v>
      </c>
      <c r="D1684" s="6">
        <v>23089</v>
      </c>
      <c r="E1684" s="6">
        <v>23463</v>
      </c>
      <c r="F1684" s="6">
        <v>23635</v>
      </c>
      <c r="G1684" s="6">
        <v>23625</v>
      </c>
      <c r="H1684" s="6">
        <v>23593</v>
      </c>
      <c r="I1684" s="1" t="str">
        <f t="shared" si="52"/>
        <v xml:space="preserve"> Utah</v>
      </c>
      <c r="J1684" s="1" t="str">
        <f t="shared" si="53"/>
        <v>North Salt Lake city</v>
      </c>
      <c r="K1684" s="1">
        <f>IF(COUNTIF($I$5:I1684,I1684)=1,1,0)</f>
        <v>0</v>
      </c>
    </row>
    <row r="1685" spans="1:11" x14ac:dyDescent="0.2">
      <c r="A1685" s="9">
        <v>1681</v>
      </c>
      <c r="B1685" s="5" t="s">
        <v>1680</v>
      </c>
      <c r="C1685" s="6">
        <v>23442</v>
      </c>
      <c r="D1685" s="6">
        <v>23430</v>
      </c>
      <c r="E1685" s="6">
        <v>23461</v>
      </c>
      <c r="F1685" s="6">
        <v>23417</v>
      </c>
      <c r="G1685" s="6">
        <v>23443</v>
      </c>
      <c r="H1685" s="6">
        <v>23553</v>
      </c>
      <c r="I1685" s="1" t="str">
        <f t="shared" si="52"/>
        <v xml:space="preserve"> Pennsylvania</v>
      </c>
      <c r="J1685" s="1" t="str">
        <f t="shared" si="53"/>
        <v>Pottstown borough</v>
      </c>
      <c r="K1685" s="1">
        <f>IF(COUNTIF($I$5:I1685,I1685)=1,1,0)</f>
        <v>0</v>
      </c>
    </row>
    <row r="1686" spans="1:11" x14ac:dyDescent="0.2">
      <c r="A1686" s="9">
        <v>1682</v>
      </c>
      <c r="B1686" s="5" t="s">
        <v>1681</v>
      </c>
      <c r="C1686" s="6">
        <v>23710</v>
      </c>
      <c r="D1686" s="6">
        <v>23664</v>
      </c>
      <c r="E1686" s="6">
        <v>23472</v>
      </c>
      <c r="F1686" s="6">
        <v>23330</v>
      </c>
      <c r="G1686" s="6">
        <v>23387</v>
      </c>
      <c r="H1686" s="6">
        <v>23548</v>
      </c>
      <c r="I1686" s="1" t="str">
        <f t="shared" si="52"/>
        <v xml:space="preserve"> Illinois</v>
      </c>
      <c r="J1686" s="1" t="str">
        <f t="shared" si="53"/>
        <v>Lisle village</v>
      </c>
      <c r="K1686" s="1">
        <f>IF(COUNTIF($I$5:I1686,I1686)=1,1,0)</f>
        <v>0</v>
      </c>
    </row>
    <row r="1687" spans="1:11" x14ac:dyDescent="0.2">
      <c r="A1687" s="9">
        <v>1683</v>
      </c>
      <c r="B1687" s="5" t="s">
        <v>1682</v>
      </c>
      <c r="C1687" s="6">
        <v>24523</v>
      </c>
      <c r="D1687" s="6">
        <v>24471</v>
      </c>
      <c r="E1687" s="6">
        <v>24007</v>
      </c>
      <c r="F1687" s="6">
        <v>23793</v>
      </c>
      <c r="G1687" s="6">
        <v>23849</v>
      </c>
      <c r="H1687" s="6">
        <v>23538</v>
      </c>
      <c r="I1687" s="1" t="str">
        <f t="shared" si="52"/>
        <v xml:space="preserve"> Arkansas</v>
      </c>
      <c r="J1687" s="1" t="str">
        <f t="shared" si="53"/>
        <v>West Memphis city</v>
      </c>
      <c r="K1687" s="1">
        <f>IF(COUNTIF($I$5:I1687,I1687)=1,1,0)</f>
        <v>0</v>
      </c>
    </row>
    <row r="1688" spans="1:11" x14ac:dyDescent="0.2">
      <c r="A1688" s="9">
        <v>1684</v>
      </c>
      <c r="B1688" s="5" t="s">
        <v>1683</v>
      </c>
      <c r="C1688" s="6">
        <v>24076</v>
      </c>
      <c r="D1688" s="6">
        <v>24007</v>
      </c>
      <c r="E1688" s="6">
        <v>23810</v>
      </c>
      <c r="F1688" s="6">
        <v>23603</v>
      </c>
      <c r="G1688" s="6">
        <v>23571</v>
      </c>
      <c r="H1688" s="6">
        <v>23535</v>
      </c>
      <c r="I1688" s="1" t="str">
        <f t="shared" si="52"/>
        <v xml:space="preserve"> Illinois</v>
      </c>
      <c r="J1688" s="1" t="str">
        <f t="shared" si="53"/>
        <v>Kankakee city</v>
      </c>
      <c r="K1688" s="1">
        <f>IF(COUNTIF($I$5:I1688,I1688)=1,1,0)</f>
        <v>0</v>
      </c>
    </row>
    <row r="1689" spans="1:11" x14ac:dyDescent="0.2">
      <c r="A1689" s="9">
        <v>1685</v>
      </c>
      <c r="B1689" s="5" t="s">
        <v>1684</v>
      </c>
      <c r="C1689" s="6">
        <v>24001</v>
      </c>
      <c r="D1689" s="6">
        <v>23995</v>
      </c>
      <c r="E1689" s="6">
        <v>23852</v>
      </c>
      <c r="F1689" s="6">
        <v>23645</v>
      </c>
      <c r="G1689" s="6">
        <v>23534</v>
      </c>
      <c r="H1689" s="6">
        <v>23525</v>
      </c>
      <c r="I1689" s="1" t="str">
        <f t="shared" si="52"/>
        <v xml:space="preserve"> Missouri</v>
      </c>
      <c r="J1689" s="1" t="str">
        <f t="shared" si="53"/>
        <v>Webster Groves city</v>
      </c>
      <c r="K1689" s="1">
        <f>IF(COUNTIF($I$5:I1689,I1689)=1,1,0)</f>
        <v>0</v>
      </c>
    </row>
    <row r="1690" spans="1:11" x14ac:dyDescent="0.2">
      <c r="A1690" s="9">
        <v>1686</v>
      </c>
      <c r="B1690" s="5" t="s">
        <v>1685</v>
      </c>
      <c r="C1690" s="6">
        <v>22193</v>
      </c>
      <c r="D1690" s="6">
        <v>22277</v>
      </c>
      <c r="E1690" s="6">
        <v>22606</v>
      </c>
      <c r="F1690" s="6">
        <v>22742</v>
      </c>
      <c r="G1690" s="6">
        <v>23083</v>
      </c>
      <c r="H1690" s="6">
        <v>23498</v>
      </c>
      <c r="I1690" s="1" t="str">
        <f t="shared" si="52"/>
        <v xml:space="preserve"> Virginia</v>
      </c>
      <c r="J1690" s="1" t="str">
        <f t="shared" si="53"/>
        <v>Waynesboro city</v>
      </c>
      <c r="K1690" s="1">
        <f>IF(COUNTIF($I$5:I1690,I1690)=1,1,0)</f>
        <v>0</v>
      </c>
    </row>
    <row r="1691" spans="1:11" x14ac:dyDescent="0.2">
      <c r="A1691" s="9">
        <v>1687</v>
      </c>
      <c r="B1691" s="5" t="s">
        <v>1686</v>
      </c>
      <c r="C1691" s="6">
        <v>23983</v>
      </c>
      <c r="D1691" s="6">
        <v>23962</v>
      </c>
      <c r="E1691" s="6">
        <v>23810</v>
      </c>
      <c r="F1691" s="6">
        <v>23642</v>
      </c>
      <c r="G1691" s="6">
        <v>23525</v>
      </c>
      <c r="H1691" s="6">
        <v>23497</v>
      </c>
      <c r="I1691" s="1" t="str">
        <f t="shared" si="52"/>
        <v xml:space="preserve"> Indiana</v>
      </c>
      <c r="J1691" s="1" t="str">
        <f t="shared" si="53"/>
        <v>Highland town</v>
      </c>
      <c r="K1691" s="1">
        <f>IF(COUNTIF($I$5:I1691,I1691)=1,1,0)</f>
        <v>0</v>
      </c>
    </row>
    <row r="1692" spans="1:11" x14ac:dyDescent="0.2">
      <c r="A1692" s="9">
        <v>1688</v>
      </c>
      <c r="B1692" s="5" t="s">
        <v>1687</v>
      </c>
      <c r="C1692" s="6">
        <v>21724</v>
      </c>
      <c r="D1692" s="6">
        <v>21668</v>
      </c>
      <c r="E1692" s="6">
        <v>21186</v>
      </c>
      <c r="F1692" s="6">
        <v>21753</v>
      </c>
      <c r="G1692" s="6">
        <v>22799</v>
      </c>
      <c r="H1692" s="6">
        <v>23493</v>
      </c>
      <c r="I1692" s="1" t="str">
        <f t="shared" si="52"/>
        <v xml:space="preserve"> California</v>
      </c>
      <c r="J1692" s="1" t="str">
        <f t="shared" si="53"/>
        <v>Duarte city</v>
      </c>
      <c r="K1692" s="1">
        <f>IF(COUNTIF($I$5:I1692,I1692)=1,1,0)</f>
        <v>0</v>
      </c>
    </row>
    <row r="1693" spans="1:11" x14ac:dyDescent="0.2">
      <c r="A1693" s="9">
        <v>1689</v>
      </c>
      <c r="B1693" s="5" t="s">
        <v>1688</v>
      </c>
      <c r="C1693" s="6">
        <v>22660</v>
      </c>
      <c r="D1693" s="6">
        <v>22683</v>
      </c>
      <c r="E1693" s="6">
        <v>22801</v>
      </c>
      <c r="F1693" s="6">
        <v>23045</v>
      </c>
      <c r="G1693" s="6">
        <v>23209</v>
      </c>
      <c r="H1693" s="6">
        <v>23492</v>
      </c>
      <c r="I1693" s="1" t="str">
        <f t="shared" si="52"/>
        <v xml:space="preserve"> South Dakota</v>
      </c>
      <c r="J1693" s="1" t="str">
        <f t="shared" si="53"/>
        <v>Watertown city</v>
      </c>
      <c r="K1693" s="1">
        <f>IF(COUNTIF($I$5:I1693,I1693)=1,1,0)</f>
        <v>0</v>
      </c>
    </row>
    <row r="1694" spans="1:11" x14ac:dyDescent="0.2">
      <c r="A1694" s="9">
        <v>1690</v>
      </c>
      <c r="B1694" s="5" t="s">
        <v>1689</v>
      </c>
      <c r="C1694" s="6">
        <v>23963</v>
      </c>
      <c r="D1694" s="6">
        <v>23948</v>
      </c>
      <c r="E1694" s="6">
        <v>23694</v>
      </c>
      <c r="F1694" s="6">
        <v>23558</v>
      </c>
      <c r="G1694" s="6">
        <v>23484</v>
      </c>
      <c r="H1694" s="6">
        <v>23488</v>
      </c>
      <c r="I1694" s="1" t="str">
        <f t="shared" si="52"/>
        <v xml:space="preserve"> California</v>
      </c>
      <c r="J1694" s="1" t="str">
        <f t="shared" si="53"/>
        <v>San Fernando city</v>
      </c>
      <c r="K1694" s="1">
        <f>IF(COUNTIF($I$5:I1694,I1694)=1,1,0)</f>
        <v>0</v>
      </c>
    </row>
    <row r="1695" spans="1:11" x14ac:dyDescent="0.2">
      <c r="A1695" s="9">
        <v>1691</v>
      </c>
      <c r="B1695" s="5" t="s">
        <v>1690</v>
      </c>
      <c r="C1695" s="6">
        <v>24876</v>
      </c>
      <c r="D1695" s="6">
        <v>24790</v>
      </c>
      <c r="E1695" s="6">
        <v>24170</v>
      </c>
      <c r="F1695" s="6">
        <v>23643</v>
      </c>
      <c r="G1695" s="6">
        <v>23476</v>
      </c>
      <c r="H1695" s="6">
        <v>23479</v>
      </c>
      <c r="I1695" s="1" t="str">
        <f t="shared" si="52"/>
        <v xml:space="preserve"> Minnesota</v>
      </c>
      <c r="J1695" s="1" t="str">
        <f t="shared" si="53"/>
        <v>White Bear Lake city</v>
      </c>
      <c r="K1695" s="1">
        <f>IF(COUNTIF($I$5:I1695,I1695)=1,1,0)</f>
        <v>0</v>
      </c>
    </row>
    <row r="1696" spans="1:11" x14ac:dyDescent="0.2">
      <c r="A1696" s="9">
        <v>1692</v>
      </c>
      <c r="B1696" s="5" t="s">
        <v>1691</v>
      </c>
      <c r="C1696" s="6">
        <v>22185</v>
      </c>
      <c r="D1696" s="6">
        <v>22239</v>
      </c>
      <c r="E1696" s="6">
        <v>22509</v>
      </c>
      <c r="F1696" s="6">
        <v>22928</v>
      </c>
      <c r="G1696" s="6">
        <v>23223</v>
      </c>
      <c r="H1696" s="6">
        <v>23468</v>
      </c>
      <c r="I1696" s="1" t="str">
        <f t="shared" si="52"/>
        <v xml:space="preserve"> Florida</v>
      </c>
      <c r="J1696" s="1" t="str">
        <f t="shared" si="53"/>
        <v>DeBary city</v>
      </c>
      <c r="K1696" s="1">
        <f>IF(COUNTIF($I$5:I1696,I1696)=1,1,0)</f>
        <v>0</v>
      </c>
    </row>
    <row r="1697" spans="1:11" x14ac:dyDescent="0.2">
      <c r="A1697" s="9">
        <v>1693</v>
      </c>
      <c r="B1697" s="5" t="s">
        <v>1692</v>
      </c>
      <c r="C1697" s="6">
        <v>19632</v>
      </c>
      <c r="D1697" s="6">
        <v>19708</v>
      </c>
      <c r="E1697" s="6">
        <v>20527</v>
      </c>
      <c r="F1697" s="6">
        <v>21550</v>
      </c>
      <c r="G1697" s="6">
        <v>22515</v>
      </c>
      <c r="H1697" s="6">
        <v>23426</v>
      </c>
      <c r="I1697" s="1" t="str">
        <f t="shared" si="52"/>
        <v xml:space="preserve"> Louisiana</v>
      </c>
      <c r="J1697" s="1" t="str">
        <f t="shared" si="53"/>
        <v>Hammond city</v>
      </c>
      <c r="K1697" s="1">
        <f>IF(COUNTIF($I$5:I1697,I1697)=1,1,0)</f>
        <v>0</v>
      </c>
    </row>
    <row r="1698" spans="1:11" x14ac:dyDescent="0.2">
      <c r="A1698" s="9">
        <v>1694</v>
      </c>
      <c r="B1698" s="5" t="s">
        <v>1693</v>
      </c>
      <c r="C1698" s="6">
        <v>22402</v>
      </c>
      <c r="D1698" s="6">
        <v>22420</v>
      </c>
      <c r="E1698" s="6">
        <v>22542</v>
      </c>
      <c r="F1698" s="6">
        <v>22784</v>
      </c>
      <c r="G1698" s="6">
        <v>23126</v>
      </c>
      <c r="H1698" s="6">
        <v>23392</v>
      </c>
      <c r="I1698" s="1" t="str">
        <f t="shared" si="52"/>
        <v xml:space="preserve"> Alabama</v>
      </c>
      <c r="J1698" s="1" t="str">
        <f t="shared" si="53"/>
        <v>Albertville city</v>
      </c>
      <c r="K1698" s="1">
        <f>IF(COUNTIF($I$5:I1698,I1698)=1,1,0)</f>
        <v>0</v>
      </c>
    </row>
    <row r="1699" spans="1:11" x14ac:dyDescent="0.2">
      <c r="A1699" s="9">
        <v>1695</v>
      </c>
      <c r="B1699" s="5" t="s">
        <v>1694</v>
      </c>
      <c r="C1699" s="6">
        <v>23517</v>
      </c>
      <c r="D1699" s="6">
        <v>23420</v>
      </c>
      <c r="E1699" s="6">
        <v>23153</v>
      </c>
      <c r="F1699" s="6">
        <v>22971</v>
      </c>
      <c r="G1699" s="6">
        <v>23069</v>
      </c>
      <c r="H1699" s="6">
        <v>23364</v>
      </c>
      <c r="I1699" s="1" t="str">
        <f t="shared" si="52"/>
        <v xml:space="preserve"> Illinois</v>
      </c>
      <c r="J1699" s="1" t="str">
        <f t="shared" si="53"/>
        <v>Maywood village</v>
      </c>
      <c r="K1699" s="1">
        <f>IF(COUNTIF($I$5:I1699,I1699)=1,1,0)</f>
        <v>0</v>
      </c>
    </row>
    <row r="1700" spans="1:11" x14ac:dyDescent="0.2">
      <c r="A1700" s="9">
        <v>1696</v>
      </c>
      <c r="B1700" s="5" t="s">
        <v>1695</v>
      </c>
      <c r="C1700" s="6">
        <v>23067</v>
      </c>
      <c r="D1700" s="6">
        <v>22963</v>
      </c>
      <c r="E1700" s="6">
        <v>22563</v>
      </c>
      <c r="F1700" s="6">
        <v>22697</v>
      </c>
      <c r="G1700" s="6">
        <v>23014</v>
      </c>
      <c r="H1700" s="6">
        <v>23328</v>
      </c>
      <c r="I1700" s="1" t="str">
        <f t="shared" si="52"/>
        <v xml:space="preserve"> Florida</v>
      </c>
      <c r="J1700" s="1" t="str">
        <f t="shared" si="53"/>
        <v>Hialeah Gardens city</v>
      </c>
      <c r="K1700" s="1">
        <f>IF(COUNTIF($I$5:I1700,I1700)=1,1,0)</f>
        <v>0</v>
      </c>
    </row>
    <row r="1701" spans="1:11" x14ac:dyDescent="0.2">
      <c r="A1701" s="9">
        <v>1697</v>
      </c>
      <c r="B1701" s="5" t="s">
        <v>1696</v>
      </c>
      <c r="C1701" s="6">
        <v>23212</v>
      </c>
      <c r="D1701" s="6">
        <v>23138</v>
      </c>
      <c r="E1701" s="6">
        <v>22315</v>
      </c>
      <c r="F1701" s="6">
        <v>22151</v>
      </c>
      <c r="G1701" s="6">
        <v>22522</v>
      </c>
      <c r="H1701" s="6">
        <v>23321</v>
      </c>
      <c r="I1701" s="1" t="str">
        <f t="shared" si="52"/>
        <v xml:space="preserve"> California</v>
      </c>
      <c r="J1701" s="1" t="str">
        <f t="shared" si="53"/>
        <v>Millbrae city</v>
      </c>
      <c r="K1701" s="1">
        <f>IF(COUNTIF($I$5:I1701,I1701)=1,1,0)</f>
        <v>0</v>
      </c>
    </row>
    <row r="1702" spans="1:11" x14ac:dyDescent="0.2">
      <c r="A1702" s="9">
        <v>1698</v>
      </c>
      <c r="B1702" s="5" t="s">
        <v>1697</v>
      </c>
      <c r="C1702" s="6">
        <v>23809</v>
      </c>
      <c r="D1702" s="6">
        <v>23757</v>
      </c>
      <c r="E1702" s="6">
        <v>23496</v>
      </c>
      <c r="F1702" s="6">
        <v>23499</v>
      </c>
      <c r="G1702" s="6">
        <v>23400</v>
      </c>
      <c r="H1702" s="6">
        <v>23298</v>
      </c>
      <c r="I1702" s="1" t="str">
        <f t="shared" si="52"/>
        <v xml:space="preserve"> Iowa</v>
      </c>
      <c r="J1702" s="1" t="str">
        <f t="shared" si="53"/>
        <v>Muscatine city</v>
      </c>
      <c r="K1702" s="1">
        <f>IF(COUNTIF($I$5:I1702,I1702)=1,1,0)</f>
        <v>0</v>
      </c>
    </row>
    <row r="1703" spans="1:11" x14ac:dyDescent="0.2">
      <c r="A1703" s="9">
        <v>1699</v>
      </c>
      <c r="B1703" s="5" t="s">
        <v>1698</v>
      </c>
      <c r="C1703" s="6">
        <v>21923</v>
      </c>
      <c r="D1703" s="6">
        <v>21988</v>
      </c>
      <c r="E1703" s="6">
        <v>22257</v>
      </c>
      <c r="F1703" s="6">
        <v>22561</v>
      </c>
      <c r="G1703" s="6">
        <v>22977</v>
      </c>
      <c r="H1703" s="6">
        <v>23297</v>
      </c>
      <c r="I1703" s="1" t="str">
        <f t="shared" si="52"/>
        <v xml:space="preserve"> Oklahoma</v>
      </c>
      <c r="J1703" s="1" t="str">
        <f t="shared" si="53"/>
        <v>Sapulpa city</v>
      </c>
      <c r="K1703" s="1">
        <f>IF(COUNTIF($I$5:I1703,I1703)=1,1,0)</f>
        <v>0</v>
      </c>
    </row>
    <row r="1704" spans="1:11" x14ac:dyDescent="0.2">
      <c r="A1704" s="9">
        <v>1700</v>
      </c>
      <c r="B1704" s="5" t="s">
        <v>1699</v>
      </c>
      <c r="C1704" s="6">
        <v>21284</v>
      </c>
      <c r="D1704" s="6">
        <v>21408</v>
      </c>
      <c r="E1704" s="6">
        <v>21989</v>
      </c>
      <c r="F1704" s="6">
        <v>22523</v>
      </c>
      <c r="G1704" s="6">
        <v>22924</v>
      </c>
      <c r="H1704" s="6">
        <v>23248</v>
      </c>
      <c r="I1704" s="1" t="str">
        <f t="shared" si="52"/>
        <v xml:space="preserve"> Missouri</v>
      </c>
      <c r="J1704" s="1" t="str">
        <f t="shared" si="53"/>
        <v>Ozark city</v>
      </c>
      <c r="K1704" s="1">
        <f>IF(COUNTIF($I$5:I1704,I1704)=1,1,0)</f>
        <v>0</v>
      </c>
    </row>
    <row r="1705" spans="1:11" x14ac:dyDescent="0.2">
      <c r="A1705" s="9">
        <v>1701</v>
      </c>
      <c r="B1705" s="5" t="s">
        <v>1700</v>
      </c>
      <c r="C1705" s="6">
        <v>23177</v>
      </c>
      <c r="D1705" s="6">
        <v>23208</v>
      </c>
      <c r="E1705" s="6">
        <v>23270</v>
      </c>
      <c r="F1705" s="6">
        <v>23190</v>
      </c>
      <c r="G1705" s="6">
        <v>23139</v>
      </c>
      <c r="H1705" s="6">
        <v>23209</v>
      </c>
      <c r="I1705" s="1" t="str">
        <f t="shared" si="52"/>
        <v xml:space="preserve"> California</v>
      </c>
      <c r="J1705" s="1" t="str">
        <f t="shared" si="53"/>
        <v>Oakdale city</v>
      </c>
      <c r="K1705" s="1">
        <f>IF(COUNTIF($I$5:I1705,I1705)=1,1,0)</f>
        <v>0</v>
      </c>
    </row>
    <row r="1706" spans="1:11" x14ac:dyDescent="0.2">
      <c r="A1706" s="9">
        <v>1702</v>
      </c>
      <c r="B1706" s="5" t="s">
        <v>1701</v>
      </c>
      <c r="C1706" s="6">
        <v>20542</v>
      </c>
      <c r="D1706" s="6">
        <v>20780</v>
      </c>
      <c r="E1706" s="6">
        <v>21713</v>
      </c>
      <c r="F1706" s="6">
        <v>22563</v>
      </c>
      <c r="G1706" s="6">
        <v>23157</v>
      </c>
      <c r="H1706" s="6">
        <v>23178</v>
      </c>
      <c r="I1706" s="1" t="str">
        <f t="shared" si="52"/>
        <v xml:space="preserve"> North Carolina</v>
      </c>
      <c r="J1706" s="1" t="str">
        <f t="shared" si="53"/>
        <v>Waxhaw town</v>
      </c>
      <c r="K1706" s="1">
        <f>IF(COUNTIF($I$5:I1706,I1706)=1,1,0)</f>
        <v>0</v>
      </c>
    </row>
    <row r="1707" spans="1:11" x14ac:dyDescent="0.2">
      <c r="A1707" s="9">
        <v>1703</v>
      </c>
      <c r="B1707" s="5" t="s">
        <v>1702</v>
      </c>
      <c r="C1707" s="6">
        <v>22675</v>
      </c>
      <c r="D1707" s="6">
        <v>22653</v>
      </c>
      <c r="E1707" s="6">
        <v>22781</v>
      </c>
      <c r="F1707" s="6">
        <v>23023</v>
      </c>
      <c r="G1707" s="6">
        <v>23198</v>
      </c>
      <c r="H1707" s="6">
        <v>23174</v>
      </c>
      <c r="I1707" s="1" t="str">
        <f t="shared" si="52"/>
        <v xml:space="preserve"> Oklahoma</v>
      </c>
      <c r="J1707" s="1" t="str">
        <f t="shared" si="53"/>
        <v>Duncan city</v>
      </c>
      <c r="K1707" s="1">
        <f>IF(COUNTIF($I$5:I1707,I1707)=1,1,0)</f>
        <v>0</v>
      </c>
    </row>
    <row r="1708" spans="1:11" x14ac:dyDescent="0.2">
      <c r="A1708" s="9">
        <v>1704</v>
      </c>
      <c r="B1708" s="5" t="s">
        <v>1703</v>
      </c>
      <c r="C1708" s="6">
        <v>24030</v>
      </c>
      <c r="D1708" s="6">
        <v>23960</v>
      </c>
      <c r="E1708" s="6">
        <v>23716</v>
      </c>
      <c r="F1708" s="6">
        <v>23477</v>
      </c>
      <c r="G1708" s="6">
        <v>23285</v>
      </c>
      <c r="H1708" s="6">
        <v>23140</v>
      </c>
      <c r="I1708" s="1" t="str">
        <f t="shared" si="52"/>
        <v xml:space="preserve"> Illinois</v>
      </c>
      <c r="J1708" s="1" t="str">
        <f t="shared" si="53"/>
        <v>Freeport city</v>
      </c>
      <c r="K1708" s="1">
        <f>IF(COUNTIF($I$5:I1708,I1708)=1,1,0)</f>
        <v>0</v>
      </c>
    </row>
    <row r="1709" spans="1:11" x14ac:dyDescent="0.2">
      <c r="A1709" s="9">
        <v>1705</v>
      </c>
      <c r="B1709" s="5" t="s">
        <v>1704</v>
      </c>
      <c r="C1709" s="6">
        <v>23657</v>
      </c>
      <c r="D1709" s="6">
        <v>23595</v>
      </c>
      <c r="E1709" s="6">
        <v>23306</v>
      </c>
      <c r="F1709" s="6">
        <v>23126</v>
      </c>
      <c r="G1709" s="6">
        <v>23082</v>
      </c>
      <c r="H1709" s="6">
        <v>23120</v>
      </c>
      <c r="I1709" s="1" t="str">
        <f t="shared" si="52"/>
        <v xml:space="preserve"> Texas</v>
      </c>
      <c r="J1709" s="1" t="str">
        <f t="shared" si="53"/>
        <v>Watauga city</v>
      </c>
      <c r="K1709" s="1">
        <f>IF(COUNTIF($I$5:I1709,I1709)=1,1,0)</f>
        <v>0</v>
      </c>
    </row>
    <row r="1710" spans="1:11" x14ac:dyDescent="0.2">
      <c r="A1710" s="9">
        <v>1706</v>
      </c>
      <c r="B1710" s="5" t="s">
        <v>1705</v>
      </c>
      <c r="C1710" s="6">
        <v>22730</v>
      </c>
      <c r="D1710" s="6">
        <v>22639</v>
      </c>
      <c r="E1710" s="6">
        <v>22577</v>
      </c>
      <c r="F1710" s="6">
        <v>22446</v>
      </c>
      <c r="G1710" s="6">
        <v>22711</v>
      </c>
      <c r="H1710" s="6">
        <v>23102</v>
      </c>
      <c r="I1710" s="1" t="str">
        <f t="shared" si="52"/>
        <v xml:space="preserve"> New Jersey</v>
      </c>
      <c r="J1710" s="1" t="str">
        <f t="shared" si="53"/>
        <v>Summit city</v>
      </c>
      <c r="K1710" s="1">
        <f>IF(COUNTIF($I$5:I1710,I1710)=1,1,0)</f>
        <v>0</v>
      </c>
    </row>
    <row r="1711" spans="1:11" x14ac:dyDescent="0.2">
      <c r="A1711" s="9">
        <v>1707</v>
      </c>
      <c r="B1711" s="5" t="s">
        <v>1706</v>
      </c>
      <c r="C1711" s="6">
        <v>23681</v>
      </c>
      <c r="D1711" s="6">
        <v>23633</v>
      </c>
      <c r="E1711" s="6">
        <v>23385</v>
      </c>
      <c r="F1711" s="6">
        <v>23177</v>
      </c>
      <c r="G1711" s="6">
        <v>23087</v>
      </c>
      <c r="H1711" s="6">
        <v>23081</v>
      </c>
      <c r="I1711" s="1" t="str">
        <f t="shared" si="52"/>
        <v xml:space="preserve"> Ohio</v>
      </c>
      <c r="J1711" s="1" t="str">
        <f t="shared" si="53"/>
        <v>Maple Heights city</v>
      </c>
      <c r="K1711" s="1">
        <f>IF(COUNTIF($I$5:I1711,I1711)=1,1,0)</f>
        <v>0</v>
      </c>
    </row>
    <row r="1712" spans="1:11" x14ac:dyDescent="0.2">
      <c r="A1712" s="9">
        <v>1708</v>
      </c>
      <c r="B1712" s="5" t="s">
        <v>1707</v>
      </c>
      <c r="C1712" s="6">
        <v>23090</v>
      </c>
      <c r="D1712" s="6">
        <v>23064</v>
      </c>
      <c r="E1712" s="6">
        <v>23001</v>
      </c>
      <c r="F1712" s="6">
        <v>22935</v>
      </c>
      <c r="G1712" s="6">
        <v>23011</v>
      </c>
      <c r="H1712" s="6">
        <v>23073</v>
      </c>
      <c r="I1712" s="1" t="str">
        <f t="shared" si="52"/>
        <v xml:space="preserve"> Ohio</v>
      </c>
      <c r="J1712" s="1" t="str">
        <f t="shared" si="53"/>
        <v>Hudson city</v>
      </c>
      <c r="K1712" s="1">
        <f>IF(COUNTIF($I$5:I1712,I1712)=1,1,0)</f>
        <v>0</v>
      </c>
    </row>
    <row r="1713" spans="1:11" x14ac:dyDescent="0.2">
      <c r="A1713" s="9">
        <v>1708</v>
      </c>
      <c r="B1713" s="5" t="s">
        <v>1708</v>
      </c>
      <c r="C1713" s="6">
        <v>23078</v>
      </c>
      <c r="D1713" s="6">
        <v>23079</v>
      </c>
      <c r="E1713" s="6">
        <v>23046</v>
      </c>
      <c r="F1713" s="6">
        <v>22981</v>
      </c>
      <c r="G1713" s="6">
        <v>23009</v>
      </c>
      <c r="H1713" s="6">
        <v>23073</v>
      </c>
      <c r="I1713" s="1" t="str">
        <f t="shared" si="52"/>
        <v xml:space="preserve"> Ohio</v>
      </c>
      <c r="J1713" s="1" t="str">
        <f t="shared" si="53"/>
        <v>Trotwood city</v>
      </c>
      <c r="K1713" s="1">
        <f>IF(COUNTIF($I$5:I1713,I1713)=1,1,0)</f>
        <v>0</v>
      </c>
    </row>
    <row r="1714" spans="1:11" x14ac:dyDescent="0.2">
      <c r="A1714" s="9">
        <v>1710</v>
      </c>
      <c r="B1714" s="5" t="s">
        <v>1709</v>
      </c>
      <c r="C1714" s="6">
        <v>22806</v>
      </c>
      <c r="D1714" s="6">
        <v>22749</v>
      </c>
      <c r="E1714" s="6">
        <v>22717</v>
      </c>
      <c r="F1714" s="6">
        <v>22718</v>
      </c>
      <c r="G1714" s="6">
        <v>22778</v>
      </c>
      <c r="H1714" s="6">
        <v>23072</v>
      </c>
      <c r="I1714" s="1" t="str">
        <f t="shared" si="52"/>
        <v xml:space="preserve"> New Jersey</v>
      </c>
      <c r="J1714" s="1" t="str">
        <f t="shared" si="53"/>
        <v>North Plainfield borough</v>
      </c>
      <c r="K1714" s="1">
        <f>IF(COUNTIF($I$5:I1714,I1714)=1,1,0)</f>
        <v>0</v>
      </c>
    </row>
    <row r="1715" spans="1:11" x14ac:dyDescent="0.2">
      <c r="A1715" s="9">
        <v>1711</v>
      </c>
      <c r="B1715" s="5" t="s">
        <v>1710</v>
      </c>
      <c r="C1715" s="6">
        <v>22694</v>
      </c>
      <c r="D1715" s="6">
        <v>22606</v>
      </c>
      <c r="E1715" s="6">
        <v>22480</v>
      </c>
      <c r="F1715" s="6">
        <v>22434</v>
      </c>
      <c r="G1715" s="6">
        <v>22708</v>
      </c>
      <c r="H1715" s="6">
        <v>23064</v>
      </c>
      <c r="I1715" s="1" t="str">
        <f t="shared" si="52"/>
        <v xml:space="preserve"> New Jersey</v>
      </c>
      <c r="J1715" s="1" t="str">
        <f t="shared" si="53"/>
        <v>Roselle borough</v>
      </c>
      <c r="K1715" s="1">
        <f>IF(COUNTIF($I$5:I1715,I1715)=1,1,0)</f>
        <v>0</v>
      </c>
    </row>
    <row r="1716" spans="1:11" x14ac:dyDescent="0.2">
      <c r="A1716" s="9">
        <v>1712</v>
      </c>
      <c r="B1716" s="5" t="s">
        <v>1711</v>
      </c>
      <c r="C1716" s="6">
        <v>20818</v>
      </c>
      <c r="D1716" s="6">
        <v>21021</v>
      </c>
      <c r="E1716" s="6">
        <v>21982</v>
      </c>
      <c r="F1716" s="6">
        <v>22605</v>
      </c>
      <c r="G1716" s="6">
        <v>23098</v>
      </c>
      <c r="H1716" s="6">
        <v>23062</v>
      </c>
      <c r="I1716" s="1" t="str">
        <f t="shared" si="52"/>
        <v xml:space="preserve"> Georgia</v>
      </c>
      <c r="J1716" s="1" t="str">
        <f t="shared" si="53"/>
        <v>Suwanee city</v>
      </c>
      <c r="K1716" s="1">
        <f>IF(COUNTIF($I$5:I1716,I1716)=1,1,0)</f>
        <v>0</v>
      </c>
    </row>
    <row r="1717" spans="1:11" x14ac:dyDescent="0.2">
      <c r="A1717" s="9">
        <v>1713</v>
      </c>
      <c r="B1717" s="5" t="s">
        <v>1712</v>
      </c>
      <c r="C1717" s="6">
        <v>22355</v>
      </c>
      <c r="D1717" s="6">
        <v>22375</v>
      </c>
      <c r="E1717" s="6">
        <v>22090</v>
      </c>
      <c r="F1717" s="6">
        <v>22432</v>
      </c>
      <c r="G1717" s="6">
        <v>22944</v>
      </c>
      <c r="H1717" s="6">
        <v>23047</v>
      </c>
      <c r="I1717" s="1" t="str">
        <f t="shared" si="52"/>
        <v xml:space="preserve"> California</v>
      </c>
      <c r="J1717" s="1" t="str">
        <f t="shared" si="53"/>
        <v>Marina city</v>
      </c>
      <c r="K1717" s="1">
        <f>IF(COUNTIF($I$5:I1717,I1717)=1,1,0)</f>
        <v>0</v>
      </c>
    </row>
    <row r="1718" spans="1:11" x14ac:dyDescent="0.2">
      <c r="A1718" s="9">
        <v>1714</v>
      </c>
      <c r="B1718" s="5" t="s">
        <v>1713</v>
      </c>
      <c r="C1718" s="6">
        <v>23913</v>
      </c>
      <c r="D1718" s="6">
        <v>23855</v>
      </c>
      <c r="E1718" s="6">
        <v>23454</v>
      </c>
      <c r="F1718" s="6">
        <v>23154</v>
      </c>
      <c r="G1718" s="6">
        <v>22939</v>
      </c>
      <c r="H1718" s="6">
        <v>23045</v>
      </c>
      <c r="I1718" s="1" t="str">
        <f t="shared" si="52"/>
        <v xml:space="preserve"> Minnesota</v>
      </c>
      <c r="J1718" s="1" t="str">
        <f t="shared" si="53"/>
        <v>Champlin city</v>
      </c>
      <c r="K1718" s="1">
        <f>IF(COUNTIF($I$5:I1718,I1718)=1,1,0)</f>
        <v>0</v>
      </c>
    </row>
    <row r="1719" spans="1:11" x14ac:dyDescent="0.2">
      <c r="A1719" s="9">
        <v>1715</v>
      </c>
      <c r="B1719" s="5" t="s">
        <v>1714</v>
      </c>
      <c r="C1719" s="6">
        <v>21893</v>
      </c>
      <c r="D1719" s="6">
        <v>21879</v>
      </c>
      <c r="E1719" s="6">
        <v>22148</v>
      </c>
      <c r="F1719" s="6">
        <v>22194</v>
      </c>
      <c r="G1719" s="6">
        <v>22315</v>
      </c>
      <c r="H1719" s="6">
        <v>23041</v>
      </c>
      <c r="I1719" s="1" t="str">
        <f t="shared" si="52"/>
        <v xml:space="preserve"> Pennsylvania</v>
      </c>
      <c r="J1719" s="1" t="str">
        <f t="shared" si="53"/>
        <v>Chambersburg borough</v>
      </c>
      <c r="K1719" s="1">
        <f>IF(COUNTIF($I$5:I1719,I1719)=1,1,0)</f>
        <v>0</v>
      </c>
    </row>
    <row r="1720" spans="1:11" x14ac:dyDescent="0.2">
      <c r="A1720" s="9">
        <v>1716</v>
      </c>
      <c r="B1720" s="5" t="s">
        <v>1715</v>
      </c>
      <c r="C1720" s="6">
        <v>23034</v>
      </c>
      <c r="D1720" s="6">
        <v>23046</v>
      </c>
      <c r="E1720" s="6">
        <v>22727</v>
      </c>
      <c r="F1720" s="6">
        <v>22903</v>
      </c>
      <c r="G1720" s="6">
        <v>22971</v>
      </c>
      <c r="H1720" s="6">
        <v>23036</v>
      </c>
      <c r="I1720" s="1" t="str">
        <f t="shared" si="52"/>
        <v xml:space="preserve"> New Hampshire</v>
      </c>
      <c r="J1720" s="1" t="str">
        <f t="shared" si="53"/>
        <v>Keene city</v>
      </c>
      <c r="K1720" s="1">
        <f>IF(COUNTIF($I$5:I1720,I1720)=1,1,0)</f>
        <v>0</v>
      </c>
    </row>
    <row r="1721" spans="1:11" x14ac:dyDescent="0.2">
      <c r="A1721" s="9">
        <v>1717</v>
      </c>
      <c r="B1721" s="5" t="s">
        <v>1716</v>
      </c>
      <c r="C1721" s="6">
        <v>22583</v>
      </c>
      <c r="D1721" s="6">
        <v>22549</v>
      </c>
      <c r="E1721" s="6">
        <v>22534</v>
      </c>
      <c r="F1721" s="6">
        <v>22661</v>
      </c>
      <c r="G1721" s="6">
        <v>22769</v>
      </c>
      <c r="H1721" s="6">
        <v>23034</v>
      </c>
      <c r="I1721" s="1" t="str">
        <f t="shared" si="52"/>
        <v xml:space="preserve"> Rhode Island</v>
      </c>
      <c r="J1721" s="1" t="str">
        <f t="shared" si="53"/>
        <v>Central Falls city</v>
      </c>
      <c r="K1721" s="1">
        <f>IF(COUNTIF($I$5:I1721,I1721)=1,1,0)</f>
        <v>0</v>
      </c>
    </row>
    <row r="1722" spans="1:11" x14ac:dyDescent="0.2">
      <c r="A1722" s="9">
        <v>1718</v>
      </c>
      <c r="B1722" s="5" t="s">
        <v>1717</v>
      </c>
      <c r="C1722" s="6">
        <v>23267</v>
      </c>
      <c r="D1722" s="6">
        <v>22782</v>
      </c>
      <c r="E1722" s="6">
        <v>23095</v>
      </c>
      <c r="F1722" s="6">
        <v>22876</v>
      </c>
      <c r="G1722" s="6">
        <v>22973</v>
      </c>
      <c r="H1722" s="6">
        <v>22993</v>
      </c>
      <c r="I1722" s="1" t="str">
        <f t="shared" si="52"/>
        <v xml:space="preserve"> New York</v>
      </c>
      <c r="J1722" s="1" t="str">
        <f t="shared" si="53"/>
        <v>Garden City village</v>
      </c>
      <c r="K1722" s="1">
        <f>IF(COUNTIF($I$5:I1722,I1722)=1,1,0)</f>
        <v>0</v>
      </c>
    </row>
    <row r="1723" spans="1:11" x14ac:dyDescent="0.2">
      <c r="A1723" s="9">
        <v>1719</v>
      </c>
      <c r="B1723" s="5" t="s">
        <v>1718</v>
      </c>
      <c r="C1723" s="6">
        <v>17657</v>
      </c>
      <c r="D1723" s="6">
        <v>17837</v>
      </c>
      <c r="E1723" s="6">
        <v>18907</v>
      </c>
      <c r="F1723" s="6">
        <v>20317</v>
      </c>
      <c r="G1723" s="6">
        <v>21829</v>
      </c>
      <c r="H1723" s="6">
        <v>22977</v>
      </c>
      <c r="I1723" s="1" t="str">
        <f t="shared" si="52"/>
        <v xml:space="preserve"> Texas</v>
      </c>
      <c r="J1723" s="1" t="str">
        <f t="shared" si="53"/>
        <v>Terrell city</v>
      </c>
      <c r="K1723" s="1">
        <f>IF(COUNTIF($I$5:I1723,I1723)=1,1,0)</f>
        <v>0</v>
      </c>
    </row>
    <row r="1724" spans="1:11" x14ac:dyDescent="0.2">
      <c r="A1724" s="9">
        <v>1720</v>
      </c>
      <c r="B1724" s="5" t="s">
        <v>1719</v>
      </c>
      <c r="C1724" s="6">
        <v>23032</v>
      </c>
      <c r="D1724" s="6">
        <v>23012</v>
      </c>
      <c r="E1724" s="6">
        <v>23081</v>
      </c>
      <c r="F1724" s="6">
        <v>22848</v>
      </c>
      <c r="G1724" s="6">
        <v>22883</v>
      </c>
      <c r="H1724" s="6">
        <v>22970</v>
      </c>
      <c r="I1724" s="1" t="str">
        <f t="shared" si="52"/>
        <v xml:space="preserve"> Virginia</v>
      </c>
      <c r="J1724" s="1" t="str">
        <f t="shared" si="53"/>
        <v>Hopewell city</v>
      </c>
      <c r="K1724" s="1">
        <f>IF(COUNTIF($I$5:I1724,I1724)=1,1,0)</f>
        <v>0</v>
      </c>
    </row>
    <row r="1725" spans="1:11" x14ac:dyDescent="0.2">
      <c r="A1725" s="9">
        <v>1721</v>
      </c>
      <c r="B1725" s="5" t="s">
        <v>1720</v>
      </c>
      <c r="C1725" s="6">
        <v>23526</v>
      </c>
      <c r="D1725" s="6">
        <v>23495</v>
      </c>
      <c r="E1725" s="6">
        <v>23183</v>
      </c>
      <c r="F1725" s="6">
        <v>23006</v>
      </c>
      <c r="G1725" s="6">
        <v>22988</v>
      </c>
      <c r="H1725" s="6">
        <v>22967</v>
      </c>
      <c r="I1725" s="1" t="str">
        <f t="shared" si="52"/>
        <v xml:space="preserve"> Wyoming</v>
      </c>
      <c r="J1725" s="1" t="str">
        <f t="shared" si="53"/>
        <v>Rock Springs city</v>
      </c>
      <c r="K1725" s="1">
        <f>IF(COUNTIF($I$5:I1725,I1725)=1,1,0)</f>
        <v>0</v>
      </c>
    </row>
    <row r="1726" spans="1:11" x14ac:dyDescent="0.2">
      <c r="A1726" s="9">
        <v>1722</v>
      </c>
      <c r="B1726" s="5" t="s">
        <v>1721</v>
      </c>
      <c r="C1726" s="6">
        <v>20759</v>
      </c>
      <c r="D1726" s="6">
        <v>20867</v>
      </c>
      <c r="E1726" s="6">
        <v>21285</v>
      </c>
      <c r="F1726" s="6">
        <v>21769</v>
      </c>
      <c r="G1726" s="6">
        <v>22518</v>
      </c>
      <c r="H1726" s="6">
        <v>22959</v>
      </c>
      <c r="I1726" s="1" t="str">
        <f t="shared" si="52"/>
        <v xml:space="preserve"> Washington</v>
      </c>
      <c r="J1726" s="1" t="str">
        <f t="shared" si="53"/>
        <v>Battle Ground city</v>
      </c>
      <c r="K1726" s="1">
        <f>IF(COUNTIF($I$5:I1726,I1726)=1,1,0)</f>
        <v>0</v>
      </c>
    </row>
    <row r="1727" spans="1:11" x14ac:dyDescent="0.2">
      <c r="A1727" s="9">
        <v>1723</v>
      </c>
      <c r="B1727" s="5" t="s">
        <v>1722</v>
      </c>
      <c r="C1727" s="6">
        <v>21959</v>
      </c>
      <c r="D1727" s="6">
        <v>21991</v>
      </c>
      <c r="E1727" s="6">
        <v>22357</v>
      </c>
      <c r="F1727" s="6">
        <v>22652</v>
      </c>
      <c r="G1727" s="6">
        <v>22763</v>
      </c>
      <c r="H1727" s="6">
        <v>22938</v>
      </c>
      <c r="I1727" s="1" t="str">
        <f t="shared" si="52"/>
        <v xml:space="preserve"> New Hampshire</v>
      </c>
      <c r="J1727" s="1" t="str">
        <f t="shared" si="53"/>
        <v>Portsmouth city</v>
      </c>
      <c r="K1727" s="1">
        <f>IF(COUNTIF($I$5:I1727,I1727)=1,1,0)</f>
        <v>0</v>
      </c>
    </row>
    <row r="1728" spans="1:11" x14ac:dyDescent="0.2">
      <c r="A1728" s="9">
        <v>1724</v>
      </c>
      <c r="B1728" s="5" t="s">
        <v>1723</v>
      </c>
      <c r="C1728" s="6">
        <v>22952</v>
      </c>
      <c r="D1728" s="6">
        <v>22958</v>
      </c>
      <c r="E1728" s="6">
        <v>22886</v>
      </c>
      <c r="F1728" s="6">
        <v>22816</v>
      </c>
      <c r="G1728" s="6">
        <v>22851</v>
      </c>
      <c r="H1728" s="6">
        <v>22919</v>
      </c>
      <c r="I1728" s="1" t="str">
        <f t="shared" si="52"/>
        <v xml:space="preserve"> Kansas</v>
      </c>
      <c r="J1728" s="1" t="str">
        <f t="shared" si="53"/>
        <v>Prairie Village city</v>
      </c>
      <c r="K1728" s="1">
        <f>IF(COUNTIF($I$5:I1728,I1728)=1,1,0)</f>
        <v>0</v>
      </c>
    </row>
    <row r="1729" spans="1:11" x14ac:dyDescent="0.2">
      <c r="A1729" s="9">
        <v>1725</v>
      </c>
      <c r="B1729" s="5" t="s">
        <v>1724</v>
      </c>
      <c r="C1729" s="6">
        <v>20926</v>
      </c>
      <c r="D1729" s="6">
        <v>21048</v>
      </c>
      <c r="E1729" s="6">
        <v>21501</v>
      </c>
      <c r="F1729" s="6">
        <v>21883</v>
      </c>
      <c r="G1729" s="6">
        <v>22301</v>
      </c>
      <c r="H1729" s="6">
        <v>22908</v>
      </c>
      <c r="I1729" s="1" t="str">
        <f t="shared" si="52"/>
        <v xml:space="preserve"> Utah</v>
      </c>
      <c r="J1729" s="1" t="str">
        <f t="shared" si="53"/>
        <v>North Ogden city</v>
      </c>
      <c r="K1729" s="1">
        <f>IF(COUNTIF($I$5:I1729,I1729)=1,1,0)</f>
        <v>0</v>
      </c>
    </row>
    <row r="1730" spans="1:11" x14ac:dyDescent="0.2">
      <c r="A1730" s="9">
        <v>1726</v>
      </c>
      <c r="B1730" s="5" t="s">
        <v>1725</v>
      </c>
      <c r="C1730" s="6">
        <v>18227</v>
      </c>
      <c r="D1730" s="6">
        <v>18366</v>
      </c>
      <c r="E1730" s="6">
        <v>18859</v>
      </c>
      <c r="F1730" s="6">
        <v>19682</v>
      </c>
      <c r="G1730" s="6">
        <v>21208</v>
      </c>
      <c r="H1730" s="6">
        <v>22907</v>
      </c>
      <c r="I1730" s="1" t="str">
        <f t="shared" si="52"/>
        <v xml:space="preserve"> Texas</v>
      </c>
      <c r="J1730" s="1" t="str">
        <f t="shared" si="53"/>
        <v>Alton city</v>
      </c>
      <c r="K1730" s="1">
        <f>IF(COUNTIF($I$5:I1730,I1730)=1,1,0)</f>
        <v>0</v>
      </c>
    </row>
    <row r="1731" spans="1:11" x14ac:dyDescent="0.2">
      <c r="A1731" s="9">
        <v>1727</v>
      </c>
      <c r="B1731" s="5" t="s">
        <v>1726</v>
      </c>
      <c r="C1731" s="6">
        <v>22342</v>
      </c>
      <c r="D1731" s="6">
        <v>22258</v>
      </c>
      <c r="E1731" s="6">
        <v>22122</v>
      </c>
      <c r="F1731" s="6">
        <v>22326</v>
      </c>
      <c r="G1731" s="6">
        <v>22614</v>
      </c>
      <c r="H1731" s="6">
        <v>22903</v>
      </c>
      <c r="I1731" s="1" t="str">
        <f t="shared" si="52"/>
        <v xml:space="preserve"> Florida</v>
      </c>
      <c r="J1731" s="1" t="str">
        <f t="shared" si="53"/>
        <v>Sunny Isles Beach city</v>
      </c>
      <c r="K1731" s="1">
        <f>IF(COUNTIF($I$5:I1731,I1731)=1,1,0)</f>
        <v>0</v>
      </c>
    </row>
    <row r="1732" spans="1:11" x14ac:dyDescent="0.2">
      <c r="A1732" s="9">
        <v>1728</v>
      </c>
      <c r="B1732" s="5" t="s">
        <v>1727</v>
      </c>
      <c r="C1732" s="6">
        <v>22920</v>
      </c>
      <c r="D1732" s="6">
        <v>22923</v>
      </c>
      <c r="E1732" s="6">
        <v>22704</v>
      </c>
      <c r="F1732" s="6">
        <v>22575</v>
      </c>
      <c r="G1732" s="6">
        <v>22683</v>
      </c>
      <c r="H1732" s="6">
        <v>22871</v>
      </c>
      <c r="I1732" s="1" t="str">
        <f t="shared" si="52"/>
        <v xml:space="preserve"> Illinois</v>
      </c>
      <c r="J1732" s="1" t="str">
        <f t="shared" si="53"/>
        <v>Roselle village</v>
      </c>
      <c r="K1732" s="1">
        <f>IF(COUNTIF($I$5:I1732,I1732)=1,1,0)</f>
        <v>0</v>
      </c>
    </row>
    <row r="1733" spans="1:11" x14ac:dyDescent="0.2">
      <c r="A1733" s="9">
        <v>1729</v>
      </c>
      <c r="B1733" s="5" t="s">
        <v>1728</v>
      </c>
      <c r="C1733" s="6">
        <v>22941</v>
      </c>
      <c r="D1733" s="6">
        <v>22933</v>
      </c>
      <c r="E1733" s="6">
        <v>22793</v>
      </c>
      <c r="F1733" s="6">
        <v>22737</v>
      </c>
      <c r="G1733" s="6">
        <v>22724</v>
      </c>
      <c r="H1733" s="6">
        <v>22839</v>
      </c>
      <c r="I1733" s="1" t="str">
        <f t="shared" si="52"/>
        <v xml:space="preserve"> Illinois</v>
      </c>
      <c r="J1733" s="1" t="str">
        <f t="shared" si="53"/>
        <v>Machesney Park village</v>
      </c>
      <c r="K1733" s="1">
        <f>IF(COUNTIF($I$5:I1733,I1733)=1,1,0)</f>
        <v>0</v>
      </c>
    </row>
    <row r="1734" spans="1:11" x14ac:dyDescent="0.2">
      <c r="A1734" s="9">
        <v>1730</v>
      </c>
      <c r="B1734" s="5" t="s">
        <v>1729</v>
      </c>
      <c r="C1734" s="6">
        <v>24070</v>
      </c>
      <c r="D1734" s="6">
        <v>23995</v>
      </c>
      <c r="E1734" s="6">
        <v>23563</v>
      </c>
      <c r="F1734" s="6">
        <v>23272</v>
      </c>
      <c r="G1734" s="6">
        <v>23019</v>
      </c>
      <c r="H1734" s="6">
        <v>22820</v>
      </c>
      <c r="I1734" s="1" t="str">
        <f t="shared" ref="I1734:I1797" si="54">_xlfn.TEXTAFTER(B1734,",")</f>
        <v xml:space="preserve"> Mississippi</v>
      </c>
      <c r="J1734" s="1" t="str">
        <f t="shared" ref="J1734:J1797" si="55">_xlfn.TEXTBEFORE(B1734,", ")</f>
        <v>Columbus city</v>
      </c>
      <c r="K1734" s="1">
        <f>IF(COUNTIF($I$5:I1734,I1734)=1,1,0)</f>
        <v>0</v>
      </c>
    </row>
    <row r="1735" spans="1:11" x14ac:dyDescent="0.2">
      <c r="A1735" s="9">
        <v>1731</v>
      </c>
      <c r="B1735" s="5" t="s">
        <v>1730</v>
      </c>
      <c r="C1735" s="6">
        <v>21911</v>
      </c>
      <c r="D1735" s="6">
        <v>21953</v>
      </c>
      <c r="E1735" s="6">
        <v>21903</v>
      </c>
      <c r="F1735" s="6">
        <v>21853</v>
      </c>
      <c r="G1735" s="6">
        <v>22059</v>
      </c>
      <c r="H1735" s="6">
        <v>22778</v>
      </c>
      <c r="I1735" s="1" t="str">
        <f t="shared" si="54"/>
        <v xml:space="preserve"> North Carolina</v>
      </c>
      <c r="J1735" s="1" t="str">
        <f t="shared" si="55"/>
        <v>Shelby city</v>
      </c>
      <c r="K1735" s="1">
        <f>IF(COUNTIF($I$5:I1735,I1735)=1,1,0)</f>
        <v>0</v>
      </c>
    </row>
    <row r="1736" spans="1:11" x14ac:dyDescent="0.2">
      <c r="A1736" s="9">
        <v>1732</v>
      </c>
      <c r="B1736" s="5" t="s">
        <v>1731</v>
      </c>
      <c r="C1736" s="6">
        <v>21410</v>
      </c>
      <c r="D1736" s="6">
        <v>21475</v>
      </c>
      <c r="E1736" s="6">
        <v>21885</v>
      </c>
      <c r="F1736" s="6">
        <v>22055</v>
      </c>
      <c r="G1736" s="6">
        <v>22409</v>
      </c>
      <c r="H1736" s="6">
        <v>22774</v>
      </c>
      <c r="I1736" s="1" t="str">
        <f t="shared" si="54"/>
        <v xml:space="preserve"> Minnesota</v>
      </c>
      <c r="J1736" s="1" t="str">
        <f t="shared" si="55"/>
        <v>Lino Lakes city</v>
      </c>
      <c r="K1736" s="1">
        <f>IF(COUNTIF($I$5:I1736,I1736)=1,1,0)</f>
        <v>0</v>
      </c>
    </row>
    <row r="1737" spans="1:11" x14ac:dyDescent="0.2">
      <c r="A1737" s="9">
        <v>1733</v>
      </c>
      <c r="B1737" s="5" t="s">
        <v>1732</v>
      </c>
      <c r="C1737" s="6">
        <v>18666</v>
      </c>
      <c r="D1737" s="6">
        <v>18663</v>
      </c>
      <c r="E1737" s="6">
        <v>19486</v>
      </c>
      <c r="F1737" s="6">
        <v>19728</v>
      </c>
      <c r="G1737" s="6">
        <v>22687</v>
      </c>
      <c r="H1737" s="6">
        <v>22758</v>
      </c>
      <c r="I1737" s="1" t="str">
        <f t="shared" si="54"/>
        <v xml:space="preserve"> Pennsylvania</v>
      </c>
      <c r="J1737" s="1" t="str">
        <f t="shared" si="55"/>
        <v>West Chester borough</v>
      </c>
      <c r="K1737" s="1">
        <f>IF(COUNTIF($I$5:I1737,I1737)=1,1,0)</f>
        <v>0</v>
      </c>
    </row>
    <row r="1738" spans="1:11" x14ac:dyDescent="0.2">
      <c r="A1738" s="9">
        <v>1734</v>
      </c>
      <c r="B1738" s="5" t="s">
        <v>1733</v>
      </c>
      <c r="C1738" s="6">
        <v>19955</v>
      </c>
      <c r="D1738" s="6">
        <v>20063</v>
      </c>
      <c r="E1738" s="6">
        <v>20231</v>
      </c>
      <c r="F1738" s="6">
        <v>21027</v>
      </c>
      <c r="G1738" s="6">
        <v>21917</v>
      </c>
      <c r="H1738" s="6">
        <v>22754</v>
      </c>
      <c r="I1738" s="1" t="str">
        <f t="shared" si="54"/>
        <v xml:space="preserve"> California</v>
      </c>
      <c r="J1738" s="1" t="str">
        <f t="shared" si="55"/>
        <v>Shafter city</v>
      </c>
      <c r="K1738" s="1">
        <f>IF(COUNTIF($I$5:I1738,I1738)=1,1,0)</f>
        <v>0</v>
      </c>
    </row>
    <row r="1739" spans="1:11" x14ac:dyDescent="0.2">
      <c r="A1739" s="9">
        <v>1735</v>
      </c>
      <c r="B1739" s="5" t="s">
        <v>1734</v>
      </c>
      <c r="C1739" s="6">
        <v>17864</v>
      </c>
      <c r="D1739" s="6">
        <v>18087</v>
      </c>
      <c r="E1739" s="6">
        <v>19393</v>
      </c>
      <c r="F1739" s="6">
        <v>20730</v>
      </c>
      <c r="G1739" s="6">
        <v>21738</v>
      </c>
      <c r="H1739" s="6">
        <v>22712</v>
      </c>
      <c r="I1739" s="1" t="str">
        <f t="shared" si="54"/>
        <v xml:space="preserve"> Texas</v>
      </c>
      <c r="J1739" s="1" t="str">
        <f t="shared" si="55"/>
        <v>Boerne city</v>
      </c>
      <c r="K1739" s="1">
        <f>IF(COUNTIF($I$5:I1739,I1739)=1,1,0)</f>
        <v>0</v>
      </c>
    </row>
    <row r="1740" spans="1:11" x14ac:dyDescent="0.2">
      <c r="A1740" s="9">
        <v>1736</v>
      </c>
      <c r="B1740" s="5" t="s">
        <v>1735</v>
      </c>
      <c r="C1740" s="6">
        <v>22187</v>
      </c>
      <c r="D1740" s="6">
        <v>22038</v>
      </c>
      <c r="E1740" s="6">
        <v>21309</v>
      </c>
      <c r="F1740" s="6">
        <v>21346</v>
      </c>
      <c r="G1740" s="6">
        <v>21472</v>
      </c>
      <c r="H1740" s="6">
        <v>22710</v>
      </c>
      <c r="I1740" s="1" t="str">
        <f t="shared" si="54"/>
        <v xml:space="preserve"> New Jersey</v>
      </c>
      <c r="J1740" s="1" t="str">
        <f t="shared" si="55"/>
        <v>Secaucus town</v>
      </c>
      <c r="K1740" s="1">
        <f>IF(COUNTIF($I$5:I1740,I1740)=1,1,0)</f>
        <v>0</v>
      </c>
    </row>
    <row r="1741" spans="1:11" x14ac:dyDescent="0.2">
      <c r="A1741" s="9">
        <v>1737</v>
      </c>
      <c r="B1741" s="5" t="s">
        <v>1736</v>
      </c>
      <c r="C1741" s="6">
        <v>23021</v>
      </c>
      <c r="D1741" s="6">
        <v>23023</v>
      </c>
      <c r="E1741" s="6">
        <v>23038</v>
      </c>
      <c r="F1741" s="6">
        <v>22907</v>
      </c>
      <c r="G1741" s="6">
        <v>22740</v>
      </c>
      <c r="H1741" s="6">
        <v>22706</v>
      </c>
      <c r="I1741" s="1" t="str">
        <f t="shared" si="54"/>
        <v xml:space="preserve"> Kentucky</v>
      </c>
      <c r="J1741" s="1" t="str">
        <f t="shared" si="55"/>
        <v>Radcliff city</v>
      </c>
      <c r="K1741" s="1">
        <f>IF(COUNTIF($I$5:I1741,I1741)=1,1,0)</f>
        <v>0</v>
      </c>
    </row>
    <row r="1742" spans="1:11" x14ac:dyDescent="0.2">
      <c r="A1742" s="9">
        <v>1738</v>
      </c>
      <c r="B1742" s="5" t="s">
        <v>1737</v>
      </c>
      <c r="C1742" s="6">
        <v>22555</v>
      </c>
      <c r="D1742" s="6">
        <v>22558</v>
      </c>
      <c r="E1742" s="6">
        <v>22434</v>
      </c>
      <c r="F1742" s="6">
        <v>22472</v>
      </c>
      <c r="G1742" s="6">
        <v>22555</v>
      </c>
      <c r="H1742" s="6">
        <v>22667</v>
      </c>
      <c r="I1742" s="1" t="str">
        <f t="shared" si="54"/>
        <v xml:space="preserve"> South Carolina</v>
      </c>
      <c r="J1742" s="1" t="str">
        <f t="shared" si="55"/>
        <v>Greenwood city</v>
      </c>
      <c r="K1742" s="1">
        <f>IF(COUNTIF($I$5:I1742,I1742)=1,1,0)</f>
        <v>0</v>
      </c>
    </row>
    <row r="1743" spans="1:11" x14ac:dyDescent="0.2">
      <c r="A1743" s="9">
        <v>1739</v>
      </c>
      <c r="B1743" s="5" t="s">
        <v>1738</v>
      </c>
      <c r="C1743" s="6">
        <v>23355</v>
      </c>
      <c r="D1743" s="6">
        <v>23309</v>
      </c>
      <c r="E1743" s="6">
        <v>22468</v>
      </c>
      <c r="F1743" s="6">
        <v>22588</v>
      </c>
      <c r="G1743" s="6">
        <v>22667</v>
      </c>
      <c r="H1743" s="6">
        <v>22632</v>
      </c>
      <c r="I1743" s="1" t="str">
        <f t="shared" si="54"/>
        <v xml:space="preserve"> Virginia</v>
      </c>
      <c r="J1743" s="1" t="str">
        <f t="shared" si="55"/>
        <v>Christiansburg town</v>
      </c>
      <c r="K1743" s="1">
        <f>IF(COUNTIF($I$5:I1743,I1743)=1,1,0)</f>
        <v>0</v>
      </c>
    </row>
    <row r="1744" spans="1:11" x14ac:dyDescent="0.2">
      <c r="A1744" s="9">
        <v>1740</v>
      </c>
      <c r="B1744" s="5" t="s">
        <v>1739</v>
      </c>
      <c r="C1744" s="6">
        <v>22361</v>
      </c>
      <c r="D1744" s="6">
        <v>22707</v>
      </c>
      <c r="E1744" s="6">
        <v>22631</v>
      </c>
      <c r="F1744" s="6">
        <v>22324</v>
      </c>
      <c r="G1744" s="6">
        <v>22143</v>
      </c>
      <c r="H1744" s="6">
        <v>22627</v>
      </c>
      <c r="I1744" s="1" t="str">
        <f t="shared" si="54"/>
        <v xml:space="preserve"> California</v>
      </c>
      <c r="J1744" s="1" t="str">
        <f t="shared" si="55"/>
        <v>Corcoran city</v>
      </c>
      <c r="K1744" s="1">
        <f>IF(COUNTIF($I$5:I1744,I1744)=1,1,0)</f>
        <v>0</v>
      </c>
    </row>
    <row r="1745" spans="1:11" x14ac:dyDescent="0.2">
      <c r="A1745" s="9">
        <v>1741</v>
      </c>
      <c r="B1745" s="5" t="s">
        <v>1740</v>
      </c>
      <c r="C1745" s="6">
        <v>22466</v>
      </c>
      <c r="D1745" s="6">
        <v>22428</v>
      </c>
      <c r="E1745" s="6">
        <v>22355</v>
      </c>
      <c r="F1745" s="6">
        <v>22375</v>
      </c>
      <c r="G1745" s="6">
        <v>22517</v>
      </c>
      <c r="H1745" s="6">
        <v>22624</v>
      </c>
      <c r="I1745" s="1" t="str">
        <f t="shared" si="54"/>
        <v xml:space="preserve"> Georgia</v>
      </c>
      <c r="J1745" s="1" t="str">
        <f t="shared" si="55"/>
        <v>Acworth city</v>
      </c>
      <c r="K1745" s="1">
        <f>IF(COUNTIF($I$5:I1745,I1745)=1,1,0)</f>
        <v>0</v>
      </c>
    </row>
    <row r="1746" spans="1:11" x14ac:dyDescent="0.2">
      <c r="A1746" s="9">
        <v>1742</v>
      </c>
      <c r="B1746" s="5" t="s">
        <v>1741</v>
      </c>
      <c r="C1746" s="6">
        <v>22376</v>
      </c>
      <c r="D1746" s="6">
        <v>22353</v>
      </c>
      <c r="E1746" s="6">
        <v>22455</v>
      </c>
      <c r="F1746" s="6">
        <v>22398</v>
      </c>
      <c r="G1746" s="6">
        <v>22461</v>
      </c>
      <c r="H1746" s="6">
        <v>22622</v>
      </c>
      <c r="I1746" s="1" t="str">
        <f t="shared" si="54"/>
        <v xml:space="preserve"> Illinois</v>
      </c>
      <c r="J1746" s="1" t="str">
        <f t="shared" si="55"/>
        <v>Bloomingdale village</v>
      </c>
      <c r="K1746" s="1">
        <f>IF(COUNTIF($I$5:I1746,I1746)=1,1,0)</f>
        <v>0</v>
      </c>
    </row>
    <row r="1747" spans="1:11" x14ac:dyDescent="0.2">
      <c r="A1747" s="9">
        <v>1743</v>
      </c>
      <c r="B1747" s="5" t="s">
        <v>1742</v>
      </c>
      <c r="C1747" s="6">
        <v>22933</v>
      </c>
      <c r="D1747" s="6">
        <v>22934</v>
      </c>
      <c r="E1747" s="6">
        <v>22890</v>
      </c>
      <c r="F1747" s="6">
        <v>22730</v>
      </c>
      <c r="G1747" s="6">
        <v>22681</v>
      </c>
      <c r="H1747" s="6">
        <v>22617</v>
      </c>
      <c r="I1747" s="1" t="str">
        <f t="shared" si="54"/>
        <v xml:space="preserve"> Wisconsin</v>
      </c>
      <c r="J1747" s="1" t="str">
        <f t="shared" si="55"/>
        <v>Watertown city</v>
      </c>
      <c r="K1747" s="1">
        <f>IF(COUNTIF($I$5:I1747,I1747)=1,1,0)</f>
        <v>0</v>
      </c>
    </row>
    <row r="1748" spans="1:11" x14ac:dyDescent="0.2">
      <c r="A1748" s="9">
        <v>1744</v>
      </c>
      <c r="B1748" s="5" t="s">
        <v>1743</v>
      </c>
      <c r="C1748" s="6">
        <v>19669</v>
      </c>
      <c r="D1748" s="6">
        <v>19751</v>
      </c>
      <c r="E1748" s="6">
        <v>21024</v>
      </c>
      <c r="F1748" s="6">
        <v>21879</v>
      </c>
      <c r="G1748" s="6">
        <v>22164</v>
      </c>
      <c r="H1748" s="6">
        <v>22598</v>
      </c>
      <c r="I1748" s="1" t="str">
        <f t="shared" si="54"/>
        <v xml:space="preserve"> Iowa</v>
      </c>
      <c r="J1748" s="1" t="str">
        <f t="shared" si="55"/>
        <v>Altoona city</v>
      </c>
      <c r="K1748" s="1">
        <f>IF(COUNTIF($I$5:I1748,I1748)=1,1,0)</f>
        <v>0</v>
      </c>
    </row>
    <row r="1749" spans="1:11" x14ac:dyDescent="0.2">
      <c r="A1749" s="9">
        <v>1745</v>
      </c>
      <c r="B1749" s="5" t="s">
        <v>1744</v>
      </c>
      <c r="C1749" s="6">
        <v>23045</v>
      </c>
      <c r="D1749" s="6">
        <v>23047</v>
      </c>
      <c r="E1749" s="6">
        <v>19681</v>
      </c>
      <c r="F1749" s="6">
        <v>21047</v>
      </c>
      <c r="G1749" s="6">
        <v>22460</v>
      </c>
      <c r="H1749" s="6">
        <v>22585</v>
      </c>
      <c r="I1749" s="1" t="str">
        <f t="shared" si="54"/>
        <v xml:space="preserve"> Ohio</v>
      </c>
      <c r="J1749" s="1" t="str">
        <f t="shared" si="55"/>
        <v>Oxford city</v>
      </c>
      <c r="K1749" s="1">
        <f>IF(COUNTIF($I$5:I1749,I1749)=1,1,0)</f>
        <v>0</v>
      </c>
    </row>
    <row r="1750" spans="1:11" x14ac:dyDescent="0.2">
      <c r="A1750" s="9">
        <v>1746</v>
      </c>
      <c r="B1750" s="5" t="s">
        <v>1745</v>
      </c>
      <c r="C1750" s="6">
        <v>21825</v>
      </c>
      <c r="D1750" s="6">
        <v>22028</v>
      </c>
      <c r="E1750" s="6">
        <v>21984</v>
      </c>
      <c r="F1750" s="6">
        <v>22340</v>
      </c>
      <c r="G1750" s="6">
        <v>22622</v>
      </c>
      <c r="H1750" s="6">
        <v>22566</v>
      </c>
      <c r="I1750" s="1" t="str">
        <f t="shared" si="54"/>
        <v xml:space="preserve"> Wisconsin</v>
      </c>
      <c r="J1750" s="1" t="str">
        <f t="shared" si="55"/>
        <v>Middleton city</v>
      </c>
      <c r="K1750" s="1">
        <f>IF(COUNTIF($I$5:I1750,I1750)=1,1,0)</f>
        <v>0</v>
      </c>
    </row>
    <row r="1751" spans="1:11" x14ac:dyDescent="0.2">
      <c r="A1751" s="9">
        <v>1747</v>
      </c>
      <c r="B1751" s="5" t="s">
        <v>1746</v>
      </c>
      <c r="C1751" s="6">
        <v>23038</v>
      </c>
      <c r="D1751" s="6">
        <v>23005</v>
      </c>
      <c r="E1751" s="6">
        <v>22793</v>
      </c>
      <c r="F1751" s="6">
        <v>22621</v>
      </c>
      <c r="G1751" s="6">
        <v>22508</v>
      </c>
      <c r="H1751" s="6">
        <v>22564</v>
      </c>
      <c r="I1751" s="1" t="str">
        <f t="shared" si="54"/>
        <v xml:space="preserve"> California</v>
      </c>
      <c r="J1751" s="1" t="str">
        <f t="shared" si="55"/>
        <v>Laguna Beach city</v>
      </c>
      <c r="K1751" s="1">
        <f>IF(COUNTIF($I$5:I1751,I1751)=1,1,0)</f>
        <v>0</v>
      </c>
    </row>
    <row r="1752" spans="1:11" x14ac:dyDescent="0.2">
      <c r="A1752" s="9">
        <v>1748</v>
      </c>
      <c r="B1752" s="5" t="s">
        <v>1747</v>
      </c>
      <c r="C1752" s="6">
        <v>23407</v>
      </c>
      <c r="D1752" s="6">
        <v>23311</v>
      </c>
      <c r="E1752" s="6">
        <v>22981</v>
      </c>
      <c r="F1752" s="6">
        <v>22691</v>
      </c>
      <c r="G1752" s="6">
        <v>22582</v>
      </c>
      <c r="H1752" s="6">
        <v>22549</v>
      </c>
      <c r="I1752" s="1" t="str">
        <f t="shared" si="54"/>
        <v xml:space="preserve"> Nebraska</v>
      </c>
      <c r="J1752" s="1" t="str">
        <f t="shared" si="55"/>
        <v>North Platte city</v>
      </c>
      <c r="K1752" s="1">
        <f>IF(COUNTIF($I$5:I1752,I1752)=1,1,0)</f>
        <v>0</v>
      </c>
    </row>
    <row r="1753" spans="1:11" x14ac:dyDescent="0.2">
      <c r="A1753" s="9">
        <v>1749</v>
      </c>
      <c r="B1753" s="5" t="s">
        <v>1748</v>
      </c>
      <c r="C1753" s="6">
        <v>26310</v>
      </c>
      <c r="D1753" s="6">
        <v>26269</v>
      </c>
      <c r="E1753" s="6">
        <v>26015</v>
      </c>
      <c r="F1753" s="6">
        <v>22551</v>
      </c>
      <c r="G1753" s="6">
        <v>22484</v>
      </c>
      <c r="H1753" s="6">
        <v>22541</v>
      </c>
      <c r="I1753" s="1" t="str">
        <f t="shared" si="54"/>
        <v xml:space="preserve"> Texas</v>
      </c>
      <c r="J1753" s="1" t="str">
        <f t="shared" si="55"/>
        <v>Big Spring city</v>
      </c>
      <c r="K1753" s="1">
        <f>IF(COUNTIF($I$5:I1753,I1753)=1,1,0)</f>
        <v>0</v>
      </c>
    </row>
    <row r="1754" spans="1:11" x14ac:dyDescent="0.2">
      <c r="A1754" s="9">
        <v>1750</v>
      </c>
      <c r="B1754" s="5" t="s">
        <v>1749</v>
      </c>
      <c r="C1754" s="6">
        <v>22000</v>
      </c>
      <c r="D1754" s="6">
        <v>22058</v>
      </c>
      <c r="E1754" s="6">
        <v>22005</v>
      </c>
      <c r="F1754" s="6">
        <v>22082</v>
      </c>
      <c r="G1754" s="6">
        <v>22242</v>
      </c>
      <c r="H1754" s="6">
        <v>22524</v>
      </c>
      <c r="I1754" s="1" t="str">
        <f t="shared" si="54"/>
        <v xml:space="preserve"> Indiana</v>
      </c>
      <c r="J1754" s="1" t="str">
        <f t="shared" si="55"/>
        <v>Seymour city</v>
      </c>
      <c r="K1754" s="1">
        <f>IF(COUNTIF($I$5:I1754,I1754)=1,1,0)</f>
        <v>0</v>
      </c>
    </row>
    <row r="1755" spans="1:11" x14ac:dyDescent="0.2">
      <c r="A1755" s="9">
        <v>1751</v>
      </c>
      <c r="B1755" s="5" t="s">
        <v>1750</v>
      </c>
      <c r="C1755" s="6">
        <v>20117</v>
      </c>
      <c r="D1755" s="6">
        <v>20149</v>
      </c>
      <c r="E1755" s="6">
        <v>22095</v>
      </c>
      <c r="F1755" s="6">
        <v>22147</v>
      </c>
      <c r="G1755" s="6">
        <v>22404</v>
      </c>
      <c r="H1755" s="6">
        <v>22517</v>
      </c>
      <c r="I1755" s="1" t="str">
        <f t="shared" si="54"/>
        <v xml:space="preserve"> Pennsylvania</v>
      </c>
      <c r="J1755" s="1" t="str">
        <f t="shared" si="55"/>
        <v>Carlisle borough</v>
      </c>
      <c r="K1755" s="1">
        <f>IF(COUNTIF($I$5:I1755,I1755)=1,1,0)</f>
        <v>0</v>
      </c>
    </row>
    <row r="1756" spans="1:11" x14ac:dyDescent="0.2">
      <c r="A1756" s="9">
        <v>1752</v>
      </c>
      <c r="B1756" s="5" t="s">
        <v>1751</v>
      </c>
      <c r="C1756" s="6">
        <v>22159</v>
      </c>
      <c r="D1756" s="6">
        <v>22156</v>
      </c>
      <c r="E1756" s="6">
        <v>22032</v>
      </c>
      <c r="F1756" s="6">
        <v>21738</v>
      </c>
      <c r="G1756" s="6">
        <v>22165</v>
      </c>
      <c r="H1756" s="6">
        <v>22502</v>
      </c>
      <c r="I1756" s="1" t="str">
        <f t="shared" si="54"/>
        <v xml:space="preserve"> Minnesota</v>
      </c>
      <c r="J1756" s="1" t="str">
        <f t="shared" si="55"/>
        <v>Hastings city</v>
      </c>
      <c r="K1756" s="1">
        <f>IF(COUNTIF($I$5:I1756,I1756)=1,1,0)</f>
        <v>0</v>
      </c>
    </row>
    <row r="1757" spans="1:11" x14ac:dyDescent="0.2">
      <c r="A1757" s="9">
        <v>1753</v>
      </c>
      <c r="B1757" s="5" t="s">
        <v>1752</v>
      </c>
      <c r="C1757" s="6">
        <v>21976</v>
      </c>
      <c r="D1757" s="6">
        <v>21973</v>
      </c>
      <c r="E1757" s="6">
        <v>22190</v>
      </c>
      <c r="F1757" s="6">
        <v>22251</v>
      </c>
      <c r="G1757" s="6">
        <v>22343</v>
      </c>
      <c r="H1757" s="6">
        <v>22497</v>
      </c>
      <c r="I1757" s="1" t="str">
        <f t="shared" si="54"/>
        <v xml:space="preserve"> Maine</v>
      </c>
      <c r="J1757" s="1" t="str">
        <f t="shared" si="55"/>
        <v>Sanford city</v>
      </c>
      <c r="K1757" s="1">
        <f>IF(COUNTIF($I$5:I1757,I1757)=1,1,0)</f>
        <v>0</v>
      </c>
    </row>
    <row r="1758" spans="1:11" x14ac:dyDescent="0.2">
      <c r="A1758" s="9">
        <v>1754</v>
      </c>
      <c r="B1758" s="5" t="s">
        <v>1753</v>
      </c>
      <c r="C1758" s="6">
        <v>21172</v>
      </c>
      <c r="D1758" s="6">
        <v>21233</v>
      </c>
      <c r="E1758" s="6">
        <v>21524</v>
      </c>
      <c r="F1758" s="6">
        <v>21880</v>
      </c>
      <c r="G1758" s="6">
        <v>22226</v>
      </c>
      <c r="H1758" s="6">
        <v>22471</v>
      </c>
      <c r="I1758" s="1" t="str">
        <f t="shared" si="54"/>
        <v xml:space="preserve"> North Carolina</v>
      </c>
      <c r="J1758" s="1" t="str">
        <f t="shared" si="55"/>
        <v>Clemmons village</v>
      </c>
      <c r="K1758" s="1">
        <f>IF(COUNTIF($I$5:I1758,I1758)=1,1,0)</f>
        <v>0</v>
      </c>
    </row>
    <row r="1759" spans="1:11" x14ac:dyDescent="0.2">
      <c r="A1759" s="9">
        <v>1755</v>
      </c>
      <c r="B1759" s="5" t="s">
        <v>1754</v>
      </c>
      <c r="C1759" s="6">
        <v>22453</v>
      </c>
      <c r="D1759" s="6">
        <v>22416</v>
      </c>
      <c r="E1759" s="6">
        <v>22416</v>
      </c>
      <c r="F1759" s="6">
        <v>22206</v>
      </c>
      <c r="G1759" s="6">
        <v>22434</v>
      </c>
      <c r="H1759" s="6">
        <v>22444</v>
      </c>
      <c r="I1759" s="1" t="str">
        <f t="shared" si="54"/>
        <v xml:space="preserve"> Indiana</v>
      </c>
      <c r="J1759" s="1" t="str">
        <f t="shared" si="55"/>
        <v>La Porte city</v>
      </c>
      <c r="K1759" s="1">
        <f>IF(COUNTIF($I$5:I1759,I1759)=1,1,0)</f>
        <v>0</v>
      </c>
    </row>
    <row r="1760" spans="1:11" x14ac:dyDescent="0.2">
      <c r="A1760" s="9">
        <v>1756</v>
      </c>
      <c r="B1760" s="5" t="s">
        <v>1755</v>
      </c>
      <c r="C1760" s="6">
        <v>22182</v>
      </c>
      <c r="D1760" s="6">
        <v>22292</v>
      </c>
      <c r="E1760" s="6">
        <v>22344</v>
      </c>
      <c r="F1760" s="6">
        <v>22613</v>
      </c>
      <c r="G1760" s="6">
        <v>22349</v>
      </c>
      <c r="H1760" s="6">
        <v>22394</v>
      </c>
      <c r="I1760" s="1" t="str">
        <f t="shared" si="54"/>
        <v xml:space="preserve"> Colorado</v>
      </c>
      <c r="J1760" s="1" t="str">
        <f t="shared" si="55"/>
        <v>Evans city</v>
      </c>
      <c r="K1760" s="1">
        <f>IF(COUNTIF($I$5:I1760,I1760)=1,1,0)</f>
        <v>0</v>
      </c>
    </row>
    <row r="1761" spans="1:11" x14ac:dyDescent="0.2">
      <c r="A1761" s="9">
        <v>1757</v>
      </c>
      <c r="B1761" s="5" t="s">
        <v>1756</v>
      </c>
      <c r="C1761" s="6">
        <v>23457</v>
      </c>
      <c r="D1761" s="6">
        <v>23467</v>
      </c>
      <c r="E1761" s="6">
        <v>22926</v>
      </c>
      <c r="F1761" s="6">
        <v>22468</v>
      </c>
      <c r="G1761" s="6">
        <v>22343</v>
      </c>
      <c r="H1761" s="6">
        <v>22374</v>
      </c>
      <c r="I1761" s="1" t="str">
        <f t="shared" si="54"/>
        <v xml:space="preserve"> Minnesota</v>
      </c>
      <c r="J1761" s="1" t="str">
        <f t="shared" si="55"/>
        <v>New Brighton city</v>
      </c>
      <c r="K1761" s="1">
        <f>IF(COUNTIF($I$5:I1761,I1761)=1,1,0)</f>
        <v>0</v>
      </c>
    </row>
    <row r="1762" spans="1:11" x14ac:dyDescent="0.2">
      <c r="A1762" s="9">
        <v>1758</v>
      </c>
      <c r="B1762" s="5" t="s">
        <v>1757</v>
      </c>
      <c r="C1762" s="6">
        <v>22549</v>
      </c>
      <c r="D1762" s="6">
        <v>22542</v>
      </c>
      <c r="E1762" s="6">
        <v>22539</v>
      </c>
      <c r="F1762" s="6">
        <v>22497</v>
      </c>
      <c r="G1762" s="6">
        <v>22542</v>
      </c>
      <c r="H1762" s="6">
        <v>22370</v>
      </c>
      <c r="I1762" s="1" t="str">
        <f t="shared" si="54"/>
        <v xml:space="preserve"> Maine</v>
      </c>
      <c r="J1762" s="1" t="str">
        <f t="shared" si="55"/>
        <v>Biddeford city</v>
      </c>
      <c r="K1762" s="1">
        <f>IF(COUNTIF($I$5:I1762,I1762)=1,1,0)</f>
        <v>0</v>
      </c>
    </row>
    <row r="1763" spans="1:11" x14ac:dyDescent="0.2">
      <c r="A1763" s="9">
        <v>1759</v>
      </c>
      <c r="B1763" s="5" t="s">
        <v>1758</v>
      </c>
      <c r="C1763" s="6">
        <v>21963</v>
      </c>
      <c r="D1763" s="6">
        <v>21944</v>
      </c>
      <c r="E1763" s="6">
        <v>21874</v>
      </c>
      <c r="F1763" s="6">
        <v>22275</v>
      </c>
      <c r="G1763" s="6">
        <v>22316</v>
      </c>
      <c r="H1763" s="6">
        <v>22358</v>
      </c>
      <c r="I1763" s="1" t="str">
        <f t="shared" si="54"/>
        <v xml:space="preserve"> Minnesota</v>
      </c>
      <c r="J1763" s="1" t="str">
        <f t="shared" si="55"/>
        <v>Columbia Heights city</v>
      </c>
      <c r="K1763" s="1">
        <f>IF(COUNTIF($I$5:I1763,I1763)=1,1,0)</f>
        <v>0</v>
      </c>
    </row>
    <row r="1764" spans="1:11" x14ac:dyDescent="0.2">
      <c r="A1764" s="9">
        <v>1760</v>
      </c>
      <c r="B1764" s="5" t="s">
        <v>1759</v>
      </c>
      <c r="C1764" s="6">
        <v>20572</v>
      </c>
      <c r="D1764" s="6">
        <v>20596</v>
      </c>
      <c r="E1764" s="6">
        <v>20866</v>
      </c>
      <c r="F1764" s="6">
        <v>22102</v>
      </c>
      <c r="G1764" s="6">
        <v>22246</v>
      </c>
      <c r="H1764" s="6">
        <v>22336</v>
      </c>
      <c r="I1764" s="1" t="str">
        <f t="shared" si="54"/>
        <v xml:space="preserve"> Georgia</v>
      </c>
      <c r="J1764" s="1" t="str">
        <f t="shared" si="55"/>
        <v>Snellville city</v>
      </c>
      <c r="K1764" s="1">
        <f>IF(COUNTIF($I$5:I1764,I1764)=1,1,0)</f>
        <v>0</v>
      </c>
    </row>
    <row r="1765" spans="1:11" x14ac:dyDescent="0.2">
      <c r="A1765" s="9">
        <v>1761</v>
      </c>
      <c r="B1765" s="5" t="s">
        <v>1760</v>
      </c>
      <c r="C1765" s="6">
        <v>22160</v>
      </c>
      <c r="D1765" s="6">
        <v>22156</v>
      </c>
      <c r="E1765" s="6">
        <v>22278</v>
      </c>
      <c r="F1765" s="6">
        <v>22283</v>
      </c>
      <c r="G1765" s="6">
        <v>22342</v>
      </c>
      <c r="H1765" s="6">
        <v>22330</v>
      </c>
      <c r="I1765" s="1" t="str">
        <f t="shared" si="54"/>
        <v xml:space="preserve"> Louisiana</v>
      </c>
      <c r="J1765" s="1" t="str">
        <f t="shared" si="55"/>
        <v>Ruston city</v>
      </c>
      <c r="K1765" s="1">
        <f>IF(COUNTIF($I$5:I1765,I1765)=1,1,0)</f>
        <v>0</v>
      </c>
    </row>
    <row r="1766" spans="1:11" x14ac:dyDescent="0.2">
      <c r="A1766" s="9">
        <v>1762</v>
      </c>
      <c r="B1766" s="5" t="s">
        <v>1761</v>
      </c>
      <c r="C1766" s="6">
        <v>21731</v>
      </c>
      <c r="D1766" s="6">
        <v>21742</v>
      </c>
      <c r="E1766" s="6">
        <v>21848</v>
      </c>
      <c r="F1766" s="6">
        <v>21961</v>
      </c>
      <c r="G1766" s="6">
        <v>22115</v>
      </c>
      <c r="H1766" s="6">
        <v>22310</v>
      </c>
      <c r="I1766" s="1" t="str">
        <f t="shared" si="54"/>
        <v xml:space="preserve"> Missouri</v>
      </c>
      <c r="J1766" s="1" t="str">
        <f t="shared" si="55"/>
        <v>Sedalia city</v>
      </c>
      <c r="K1766" s="1">
        <f>IF(COUNTIF($I$5:I1766,I1766)=1,1,0)</f>
        <v>0</v>
      </c>
    </row>
    <row r="1767" spans="1:11" x14ac:dyDescent="0.2">
      <c r="A1767" s="9">
        <v>1763</v>
      </c>
      <c r="B1767" s="5" t="s">
        <v>1762</v>
      </c>
      <c r="C1767" s="6">
        <v>17218</v>
      </c>
      <c r="D1767" s="6">
        <v>17353</v>
      </c>
      <c r="E1767" s="6">
        <v>18275</v>
      </c>
      <c r="F1767" s="6">
        <v>19365</v>
      </c>
      <c r="G1767" s="6">
        <v>21007</v>
      </c>
      <c r="H1767" s="6">
        <v>22304</v>
      </c>
      <c r="I1767" s="1" t="str">
        <f t="shared" si="54"/>
        <v xml:space="preserve"> Florida</v>
      </c>
      <c r="J1767" s="1" t="str">
        <f t="shared" si="55"/>
        <v>Zephyrhills city</v>
      </c>
      <c r="K1767" s="1">
        <f>IF(COUNTIF($I$5:I1767,I1767)=1,1,0)</f>
        <v>0</v>
      </c>
    </row>
    <row r="1768" spans="1:11" x14ac:dyDescent="0.2">
      <c r="A1768" s="9">
        <v>1764</v>
      </c>
      <c r="B1768" s="5" t="s">
        <v>1763</v>
      </c>
      <c r="C1768" s="6">
        <v>20660</v>
      </c>
      <c r="D1768" s="6">
        <v>20763</v>
      </c>
      <c r="E1768" s="6">
        <v>21069</v>
      </c>
      <c r="F1768" s="6">
        <v>21510</v>
      </c>
      <c r="G1768" s="6">
        <v>21876</v>
      </c>
      <c r="H1768" s="6">
        <v>22271</v>
      </c>
      <c r="I1768" s="1" t="str">
        <f t="shared" si="54"/>
        <v xml:space="preserve"> Arkansas</v>
      </c>
      <c r="J1768" s="1" t="str">
        <f t="shared" si="55"/>
        <v>Bryant city</v>
      </c>
      <c r="K1768" s="1">
        <f>IF(COUNTIF($I$5:I1768,I1768)=1,1,0)</f>
        <v>0</v>
      </c>
    </row>
    <row r="1769" spans="1:11" x14ac:dyDescent="0.2">
      <c r="A1769" s="9">
        <v>1765</v>
      </c>
      <c r="B1769" s="5" t="s">
        <v>1764</v>
      </c>
      <c r="C1769" s="6">
        <v>23236</v>
      </c>
      <c r="D1769" s="6">
        <v>23243</v>
      </c>
      <c r="E1769" s="6">
        <v>22918</v>
      </c>
      <c r="F1769" s="6">
        <v>22591</v>
      </c>
      <c r="G1769" s="6">
        <v>22373</v>
      </c>
      <c r="H1769" s="6">
        <v>22256</v>
      </c>
      <c r="I1769" s="1" t="str">
        <f t="shared" si="54"/>
        <v xml:space="preserve"> California</v>
      </c>
      <c r="J1769" s="1" t="str">
        <f t="shared" si="55"/>
        <v>Calabasas city</v>
      </c>
      <c r="K1769" s="1">
        <f>IF(COUNTIF($I$5:I1769,I1769)=1,1,0)</f>
        <v>0</v>
      </c>
    </row>
    <row r="1770" spans="1:11" x14ac:dyDescent="0.2">
      <c r="A1770" s="9">
        <v>1766</v>
      </c>
      <c r="B1770" s="5" t="s">
        <v>1765</v>
      </c>
      <c r="C1770" s="6">
        <v>22300</v>
      </c>
      <c r="D1770" s="6">
        <v>22263</v>
      </c>
      <c r="E1770" s="6">
        <v>22145</v>
      </c>
      <c r="F1770" s="6">
        <v>22161</v>
      </c>
      <c r="G1770" s="6">
        <v>22102</v>
      </c>
      <c r="H1770" s="6">
        <v>22223</v>
      </c>
      <c r="I1770" s="1" t="str">
        <f t="shared" si="54"/>
        <v xml:space="preserve"> Illinois</v>
      </c>
      <c r="J1770" s="1" t="str">
        <f t="shared" si="55"/>
        <v>Carbondale city</v>
      </c>
      <c r="K1770" s="1">
        <f>IF(COUNTIF($I$5:I1770,I1770)=1,1,0)</f>
        <v>0</v>
      </c>
    </row>
    <row r="1771" spans="1:11" x14ac:dyDescent="0.2">
      <c r="A1771" s="9">
        <v>1767</v>
      </c>
      <c r="B1771" s="5" t="s">
        <v>1766</v>
      </c>
      <c r="C1771" s="6">
        <v>20959</v>
      </c>
      <c r="D1771" s="6">
        <v>21096</v>
      </c>
      <c r="E1771" s="6">
        <v>21584</v>
      </c>
      <c r="F1771" s="6">
        <v>21910</v>
      </c>
      <c r="G1771" s="6">
        <v>22176</v>
      </c>
      <c r="H1771" s="6">
        <v>22200</v>
      </c>
      <c r="I1771" s="1" t="str">
        <f t="shared" si="54"/>
        <v xml:space="preserve"> Alabama</v>
      </c>
      <c r="J1771" s="1" t="str">
        <f t="shared" si="55"/>
        <v>Helena city</v>
      </c>
      <c r="K1771" s="1">
        <f>IF(COUNTIF($I$5:I1771,I1771)=1,1,0)</f>
        <v>0</v>
      </c>
    </row>
    <row r="1772" spans="1:11" x14ac:dyDescent="0.2">
      <c r="A1772" s="9">
        <v>1768</v>
      </c>
      <c r="B1772" s="5" t="s">
        <v>1767</v>
      </c>
      <c r="C1772" s="6">
        <v>21817</v>
      </c>
      <c r="D1772" s="6">
        <v>21767</v>
      </c>
      <c r="E1772" s="6">
        <v>21619</v>
      </c>
      <c r="F1772" s="6">
        <v>21549</v>
      </c>
      <c r="G1772" s="6">
        <v>21610</v>
      </c>
      <c r="H1772" s="6">
        <v>22198</v>
      </c>
      <c r="I1772" s="1" t="str">
        <f t="shared" si="54"/>
        <v xml:space="preserve"> Michigan</v>
      </c>
      <c r="J1772" s="1" t="str">
        <f t="shared" si="55"/>
        <v>Birmingham city</v>
      </c>
      <c r="K1772" s="1">
        <f>IF(COUNTIF($I$5:I1772,I1772)=1,1,0)</f>
        <v>0</v>
      </c>
    </row>
    <row r="1773" spans="1:11" x14ac:dyDescent="0.2">
      <c r="A1773" s="9">
        <v>1769</v>
      </c>
      <c r="B1773" s="5" t="s">
        <v>1768</v>
      </c>
      <c r="C1773" s="6">
        <v>19460</v>
      </c>
      <c r="D1773" s="6">
        <v>19482</v>
      </c>
      <c r="E1773" s="6">
        <v>19337</v>
      </c>
      <c r="F1773" s="6">
        <v>19793</v>
      </c>
      <c r="G1773" s="6">
        <v>20987</v>
      </c>
      <c r="H1773" s="6">
        <v>22182</v>
      </c>
      <c r="I1773" s="1" t="str">
        <f t="shared" si="54"/>
        <v xml:space="preserve"> New Jersey</v>
      </c>
      <c r="J1773" s="1" t="str">
        <f t="shared" si="55"/>
        <v>Harrison town</v>
      </c>
      <c r="K1773" s="1">
        <f>IF(COUNTIF($I$5:I1773,I1773)=1,1,0)</f>
        <v>0</v>
      </c>
    </row>
    <row r="1774" spans="1:11" x14ac:dyDescent="0.2">
      <c r="A1774" s="9">
        <v>1770</v>
      </c>
      <c r="B1774" s="5" t="s">
        <v>1769</v>
      </c>
      <c r="C1774" s="6">
        <v>21787</v>
      </c>
      <c r="D1774" s="6">
        <v>21905</v>
      </c>
      <c r="E1774" s="6">
        <v>22176</v>
      </c>
      <c r="F1774" s="6">
        <v>22174</v>
      </c>
      <c r="G1774" s="6">
        <v>22162</v>
      </c>
      <c r="H1774" s="6">
        <v>22174</v>
      </c>
      <c r="I1774" s="1" t="str">
        <f t="shared" si="54"/>
        <v xml:space="preserve"> Oregon</v>
      </c>
      <c r="J1774" s="1" t="str">
        <f t="shared" si="55"/>
        <v>Klamath Falls city</v>
      </c>
      <c r="K1774" s="1">
        <f>IF(COUNTIF($I$5:I1774,I1774)=1,1,0)</f>
        <v>0</v>
      </c>
    </row>
    <row r="1775" spans="1:11" x14ac:dyDescent="0.2">
      <c r="A1775" s="9">
        <v>1771</v>
      </c>
      <c r="B1775" s="5" t="s">
        <v>1770</v>
      </c>
      <c r="C1775" s="6">
        <v>20963</v>
      </c>
      <c r="D1775" s="6">
        <v>21114</v>
      </c>
      <c r="E1775" s="6">
        <v>21425</v>
      </c>
      <c r="F1775" s="6">
        <v>21646</v>
      </c>
      <c r="G1775" s="6">
        <v>22094</v>
      </c>
      <c r="H1775" s="6">
        <v>22147</v>
      </c>
      <c r="I1775" s="1" t="str">
        <f t="shared" si="54"/>
        <v xml:space="preserve"> Texas</v>
      </c>
      <c r="J1775" s="1" t="str">
        <f t="shared" si="55"/>
        <v>Stephenville city</v>
      </c>
      <c r="K1775" s="1">
        <f>IF(COUNTIF($I$5:I1775,I1775)=1,1,0)</f>
        <v>0</v>
      </c>
    </row>
    <row r="1776" spans="1:11" x14ac:dyDescent="0.2">
      <c r="A1776" s="9">
        <v>1772</v>
      </c>
      <c r="B1776" s="5" t="s">
        <v>1771</v>
      </c>
      <c r="C1776" s="6">
        <v>21664</v>
      </c>
      <c r="D1776" s="6">
        <v>22024</v>
      </c>
      <c r="E1776" s="6">
        <v>22104</v>
      </c>
      <c r="F1776" s="6">
        <v>22123</v>
      </c>
      <c r="G1776" s="6">
        <v>22043</v>
      </c>
      <c r="H1776" s="6">
        <v>22145</v>
      </c>
      <c r="I1776" s="1" t="str">
        <f t="shared" si="54"/>
        <v xml:space="preserve"> Washington</v>
      </c>
      <c r="J1776" s="1" t="str">
        <f t="shared" si="55"/>
        <v>Bonney Lake city</v>
      </c>
      <c r="K1776" s="1">
        <f>IF(COUNTIF($I$5:I1776,I1776)=1,1,0)</f>
        <v>0</v>
      </c>
    </row>
    <row r="1777" spans="1:11" x14ac:dyDescent="0.2">
      <c r="A1777" s="9">
        <v>1773</v>
      </c>
      <c r="B1777" s="5" t="s">
        <v>1772</v>
      </c>
      <c r="C1777" s="6">
        <v>20348</v>
      </c>
      <c r="D1777" s="6">
        <v>20469</v>
      </c>
      <c r="E1777" s="6">
        <v>21153</v>
      </c>
      <c r="F1777" s="6">
        <v>21602</v>
      </c>
      <c r="G1777" s="6">
        <v>21814</v>
      </c>
      <c r="H1777" s="6">
        <v>22102</v>
      </c>
      <c r="I1777" s="1" t="str">
        <f t="shared" si="54"/>
        <v xml:space="preserve"> California</v>
      </c>
      <c r="J1777" s="1" t="str">
        <f t="shared" si="55"/>
        <v>Imperial city</v>
      </c>
      <c r="K1777" s="1">
        <f>IF(COUNTIF($I$5:I1777,I1777)=1,1,0)</f>
        <v>0</v>
      </c>
    </row>
    <row r="1778" spans="1:11" x14ac:dyDescent="0.2">
      <c r="A1778" s="9">
        <v>1774</v>
      </c>
      <c r="B1778" s="5" t="s">
        <v>1773</v>
      </c>
      <c r="C1778" s="6">
        <v>22088</v>
      </c>
      <c r="D1778" s="6">
        <v>22087</v>
      </c>
      <c r="E1778" s="6">
        <v>22054</v>
      </c>
      <c r="F1778" s="6">
        <v>21987</v>
      </c>
      <c r="G1778" s="6">
        <v>22077</v>
      </c>
      <c r="H1778" s="6">
        <v>22088</v>
      </c>
      <c r="I1778" s="1" t="str">
        <f t="shared" si="54"/>
        <v xml:space="preserve"> Alabama</v>
      </c>
      <c r="J1778" s="1" t="str">
        <f t="shared" si="55"/>
        <v>Oxford city</v>
      </c>
      <c r="K1778" s="1">
        <f>IF(COUNTIF($I$5:I1778,I1778)=1,1,0)</f>
        <v>0</v>
      </c>
    </row>
    <row r="1779" spans="1:11" x14ac:dyDescent="0.2">
      <c r="A1779" s="9">
        <v>1775</v>
      </c>
      <c r="B1779" s="5" t="s">
        <v>1774</v>
      </c>
      <c r="C1779" s="6">
        <v>19562</v>
      </c>
      <c r="D1779" s="6">
        <v>19574</v>
      </c>
      <c r="E1779" s="6">
        <v>19785</v>
      </c>
      <c r="F1779" s="6">
        <v>20011</v>
      </c>
      <c r="G1779" s="6">
        <v>20762</v>
      </c>
      <c r="H1779" s="6">
        <v>22084</v>
      </c>
      <c r="I1779" s="1" t="str">
        <f t="shared" si="54"/>
        <v xml:space="preserve"> Florida</v>
      </c>
      <c r="J1779" s="1" t="str">
        <f t="shared" si="55"/>
        <v>Bartow city</v>
      </c>
      <c r="K1779" s="1">
        <f>IF(COUNTIF($I$5:I1779,I1779)=1,1,0)</f>
        <v>0</v>
      </c>
    </row>
    <row r="1780" spans="1:11" x14ac:dyDescent="0.2">
      <c r="A1780" s="9">
        <v>1776</v>
      </c>
      <c r="B1780" s="5" t="s">
        <v>1775</v>
      </c>
      <c r="C1780" s="6">
        <v>23328</v>
      </c>
      <c r="D1780" s="6">
        <v>23246</v>
      </c>
      <c r="E1780" s="6">
        <v>22744</v>
      </c>
      <c r="F1780" s="6">
        <v>22309</v>
      </c>
      <c r="G1780" s="6">
        <v>21989</v>
      </c>
      <c r="H1780" s="6">
        <v>22082</v>
      </c>
      <c r="I1780" s="1" t="str">
        <f t="shared" si="54"/>
        <v xml:space="preserve"> Minnesota</v>
      </c>
      <c r="J1780" s="1" t="str">
        <f t="shared" si="55"/>
        <v>Crystal city</v>
      </c>
      <c r="K1780" s="1">
        <f>IF(COUNTIF($I$5:I1780,I1780)=1,1,0)</f>
        <v>0</v>
      </c>
    </row>
    <row r="1781" spans="1:11" x14ac:dyDescent="0.2">
      <c r="A1781" s="9">
        <v>1777</v>
      </c>
      <c r="B1781" s="5" t="s">
        <v>1776</v>
      </c>
      <c r="C1781" s="6">
        <v>22932</v>
      </c>
      <c r="D1781" s="6">
        <v>22949</v>
      </c>
      <c r="E1781" s="6">
        <v>22541</v>
      </c>
      <c r="F1781" s="6">
        <v>22154</v>
      </c>
      <c r="G1781" s="6">
        <v>21940</v>
      </c>
      <c r="H1781" s="6">
        <v>22053</v>
      </c>
      <c r="I1781" s="1" t="str">
        <f t="shared" si="54"/>
        <v xml:space="preserve"> Kansas</v>
      </c>
      <c r="J1781" s="1" t="str">
        <f t="shared" si="55"/>
        <v>Junction City city</v>
      </c>
      <c r="K1781" s="1">
        <f>IF(COUNTIF($I$5:I1781,I1781)=1,1,0)</f>
        <v>0</v>
      </c>
    </row>
    <row r="1782" spans="1:11" x14ac:dyDescent="0.2">
      <c r="A1782" s="9">
        <v>1778</v>
      </c>
      <c r="B1782" s="5" t="s">
        <v>1777</v>
      </c>
      <c r="C1782" s="6">
        <v>22348</v>
      </c>
      <c r="D1782" s="6">
        <v>22323</v>
      </c>
      <c r="E1782" s="6">
        <v>22166</v>
      </c>
      <c r="F1782" s="6">
        <v>21808</v>
      </c>
      <c r="G1782" s="6">
        <v>22259</v>
      </c>
      <c r="H1782" s="6">
        <v>22041</v>
      </c>
      <c r="I1782" s="1" t="str">
        <f t="shared" si="54"/>
        <v xml:space="preserve"> Indiana</v>
      </c>
      <c r="J1782" s="1" t="str">
        <f t="shared" si="55"/>
        <v>Clarksville town</v>
      </c>
      <c r="K1782" s="1">
        <f>IF(COUNTIF($I$5:I1782,I1782)=1,1,0)</f>
        <v>0</v>
      </c>
    </row>
    <row r="1783" spans="1:11" x14ac:dyDescent="0.2">
      <c r="A1783" s="9">
        <v>1779</v>
      </c>
      <c r="B1783" s="5" t="s">
        <v>1778</v>
      </c>
      <c r="C1783" s="6">
        <v>22493</v>
      </c>
      <c r="D1783" s="6">
        <v>22443</v>
      </c>
      <c r="E1783" s="6">
        <v>22290</v>
      </c>
      <c r="F1783" s="6">
        <v>22101</v>
      </c>
      <c r="G1783" s="6">
        <v>22040</v>
      </c>
      <c r="H1783" s="6">
        <v>22024</v>
      </c>
      <c r="I1783" s="1" t="str">
        <f t="shared" si="54"/>
        <v xml:space="preserve"> Illinois</v>
      </c>
      <c r="J1783" s="1" t="str">
        <f t="shared" si="55"/>
        <v>East Peoria city</v>
      </c>
      <c r="K1783" s="1">
        <f>IF(COUNTIF($I$5:I1783,I1783)=1,1,0)</f>
        <v>0</v>
      </c>
    </row>
    <row r="1784" spans="1:11" x14ac:dyDescent="0.2">
      <c r="A1784" s="9">
        <v>1780</v>
      </c>
      <c r="B1784" s="5" t="s">
        <v>1779</v>
      </c>
      <c r="C1784" s="6">
        <v>22258</v>
      </c>
      <c r="D1784" s="6">
        <v>22206</v>
      </c>
      <c r="E1784" s="6">
        <v>22009</v>
      </c>
      <c r="F1784" s="6">
        <v>21870</v>
      </c>
      <c r="G1784" s="6">
        <v>21891</v>
      </c>
      <c r="H1784" s="6">
        <v>22020</v>
      </c>
      <c r="I1784" s="1" t="str">
        <f t="shared" si="54"/>
        <v xml:space="preserve"> Illinois</v>
      </c>
      <c r="J1784" s="1" t="str">
        <f t="shared" si="55"/>
        <v>Villa Park village</v>
      </c>
      <c r="K1784" s="1">
        <f>IF(COUNTIF($I$5:I1784,I1784)=1,1,0)</f>
        <v>0</v>
      </c>
    </row>
    <row r="1785" spans="1:11" x14ac:dyDescent="0.2">
      <c r="A1785" s="9">
        <v>1781</v>
      </c>
      <c r="B1785" s="5" t="s">
        <v>1780</v>
      </c>
      <c r="C1785" s="6">
        <v>22047</v>
      </c>
      <c r="D1785" s="6">
        <v>21998</v>
      </c>
      <c r="E1785" s="6">
        <v>21805</v>
      </c>
      <c r="F1785" s="6">
        <v>21662</v>
      </c>
      <c r="G1785" s="6">
        <v>21863</v>
      </c>
      <c r="H1785" s="6">
        <v>22015</v>
      </c>
      <c r="I1785" s="1" t="str">
        <f t="shared" si="54"/>
        <v xml:space="preserve"> Illinois</v>
      </c>
      <c r="J1785" s="1" t="str">
        <f t="shared" si="55"/>
        <v>Darien city</v>
      </c>
      <c r="K1785" s="1">
        <f>IF(COUNTIF($I$5:I1785,I1785)=1,1,0)</f>
        <v>0</v>
      </c>
    </row>
    <row r="1786" spans="1:11" x14ac:dyDescent="0.2">
      <c r="A1786" s="9">
        <v>1782</v>
      </c>
      <c r="B1786" s="5" t="s">
        <v>1781</v>
      </c>
      <c r="C1786" s="6">
        <v>18999</v>
      </c>
      <c r="D1786" s="6">
        <v>19019</v>
      </c>
      <c r="E1786" s="6">
        <v>19751</v>
      </c>
      <c r="F1786" s="6">
        <v>20408</v>
      </c>
      <c r="G1786" s="6">
        <v>21168</v>
      </c>
      <c r="H1786" s="6">
        <v>22007</v>
      </c>
      <c r="I1786" s="1" t="str">
        <f t="shared" si="54"/>
        <v xml:space="preserve"> Florida</v>
      </c>
      <c r="J1786" s="1" t="str">
        <f t="shared" si="55"/>
        <v>Tavares city</v>
      </c>
      <c r="K1786" s="1">
        <f>IF(COUNTIF($I$5:I1786,I1786)=1,1,0)</f>
        <v>0</v>
      </c>
    </row>
    <row r="1787" spans="1:11" x14ac:dyDescent="0.2">
      <c r="A1787" s="9">
        <v>1783</v>
      </c>
      <c r="B1787" s="5" t="s">
        <v>1782</v>
      </c>
      <c r="C1787" s="6">
        <v>20865</v>
      </c>
      <c r="D1787" s="6">
        <v>20879</v>
      </c>
      <c r="E1787" s="6">
        <v>21262</v>
      </c>
      <c r="F1787" s="6">
        <v>21543</v>
      </c>
      <c r="G1787" s="6">
        <v>21834</v>
      </c>
      <c r="H1787" s="6">
        <v>21995</v>
      </c>
      <c r="I1787" s="1" t="str">
        <f t="shared" si="54"/>
        <v xml:space="preserve"> Ohio</v>
      </c>
      <c r="J1787" s="1" t="str">
        <f t="shared" si="55"/>
        <v>Lebanon city</v>
      </c>
      <c r="K1787" s="1">
        <f>IF(COUNTIF($I$5:I1787,I1787)=1,1,0)</f>
        <v>0</v>
      </c>
    </row>
    <row r="1788" spans="1:11" x14ac:dyDescent="0.2">
      <c r="A1788" s="9">
        <v>1784</v>
      </c>
      <c r="B1788" s="5" t="s">
        <v>1783</v>
      </c>
      <c r="C1788" s="6">
        <v>20276</v>
      </c>
      <c r="D1788" s="6">
        <v>20580</v>
      </c>
      <c r="E1788" s="6">
        <v>21386</v>
      </c>
      <c r="F1788" s="6">
        <v>21442</v>
      </c>
      <c r="G1788" s="6">
        <v>21836</v>
      </c>
      <c r="H1788" s="6">
        <v>21983</v>
      </c>
      <c r="I1788" s="1" t="str">
        <f t="shared" si="54"/>
        <v xml:space="preserve"> South Carolina</v>
      </c>
      <c r="J1788" s="1" t="str">
        <f t="shared" si="55"/>
        <v>Hanahan city</v>
      </c>
      <c r="K1788" s="1">
        <f>IF(COUNTIF($I$5:I1788,I1788)=1,1,0)</f>
        <v>0</v>
      </c>
    </row>
    <row r="1789" spans="1:11" x14ac:dyDescent="0.2">
      <c r="A1789" s="9">
        <v>1785</v>
      </c>
      <c r="B1789" s="5" t="s">
        <v>1784</v>
      </c>
      <c r="C1789" s="6">
        <v>22169</v>
      </c>
      <c r="D1789" s="6">
        <v>22207</v>
      </c>
      <c r="E1789" s="6">
        <v>22089</v>
      </c>
      <c r="F1789" s="6">
        <v>21984</v>
      </c>
      <c r="G1789" s="6">
        <v>22028</v>
      </c>
      <c r="H1789" s="6">
        <v>21970</v>
      </c>
      <c r="I1789" s="1" t="str">
        <f t="shared" si="54"/>
        <v xml:space="preserve"> Tennessee</v>
      </c>
      <c r="J1789" s="1" t="str">
        <f t="shared" si="55"/>
        <v>East Ridge city</v>
      </c>
      <c r="K1789" s="1">
        <f>IF(COUNTIF($I$5:I1789,I1789)=1,1,0)</f>
        <v>0</v>
      </c>
    </row>
    <row r="1790" spans="1:11" x14ac:dyDescent="0.2">
      <c r="A1790" s="9">
        <v>1786</v>
      </c>
      <c r="B1790" s="5" t="s">
        <v>1785</v>
      </c>
      <c r="C1790" s="6">
        <v>19957</v>
      </c>
      <c r="D1790" s="6">
        <v>19995</v>
      </c>
      <c r="E1790" s="6">
        <v>20758</v>
      </c>
      <c r="F1790" s="6">
        <v>21205</v>
      </c>
      <c r="G1790" s="6">
        <v>21532</v>
      </c>
      <c r="H1790" s="6">
        <v>21961</v>
      </c>
      <c r="I1790" s="1" t="str">
        <f t="shared" si="54"/>
        <v xml:space="preserve"> Wisconsin</v>
      </c>
      <c r="J1790" s="1" t="str">
        <f t="shared" si="55"/>
        <v>Howard village</v>
      </c>
      <c r="K1790" s="1">
        <f>IF(COUNTIF($I$5:I1790,I1790)=1,1,0)</f>
        <v>0</v>
      </c>
    </row>
    <row r="1791" spans="1:11" x14ac:dyDescent="0.2">
      <c r="A1791" s="9">
        <v>1787</v>
      </c>
      <c r="B1791" s="5" t="s">
        <v>1786</v>
      </c>
      <c r="C1791" s="6">
        <v>19911</v>
      </c>
      <c r="D1791" s="6">
        <v>20045</v>
      </c>
      <c r="E1791" s="6">
        <v>20786</v>
      </c>
      <c r="F1791" s="6">
        <v>21227</v>
      </c>
      <c r="G1791" s="6">
        <v>21416</v>
      </c>
      <c r="H1791" s="6">
        <v>21959</v>
      </c>
      <c r="I1791" s="1" t="str">
        <f t="shared" si="54"/>
        <v xml:space="preserve"> Washington</v>
      </c>
      <c r="J1791" s="1" t="str">
        <f t="shared" si="55"/>
        <v>Arlington city</v>
      </c>
      <c r="K1791" s="1">
        <f>IF(COUNTIF($I$5:I1791,I1791)=1,1,0)</f>
        <v>0</v>
      </c>
    </row>
    <row r="1792" spans="1:11" x14ac:dyDescent="0.2">
      <c r="A1792" s="9">
        <v>1788</v>
      </c>
      <c r="B1792" s="5" t="s">
        <v>1787</v>
      </c>
      <c r="C1792" s="6">
        <v>20290</v>
      </c>
      <c r="D1792" s="6">
        <v>20440</v>
      </c>
      <c r="E1792" s="6">
        <v>21351</v>
      </c>
      <c r="F1792" s="6">
        <v>21866</v>
      </c>
      <c r="G1792" s="6">
        <v>21985</v>
      </c>
      <c r="H1792" s="6">
        <v>21957</v>
      </c>
      <c r="I1792" s="1" t="str">
        <f t="shared" si="54"/>
        <v xml:space="preserve"> Illinois</v>
      </c>
      <c r="J1792" s="1" t="str">
        <f t="shared" si="55"/>
        <v>Montgomery village</v>
      </c>
      <c r="K1792" s="1">
        <f>IF(COUNTIF($I$5:I1792,I1792)=1,1,0)</f>
        <v>0</v>
      </c>
    </row>
    <row r="1793" spans="1:11" x14ac:dyDescent="0.2">
      <c r="A1793" s="9">
        <v>1789</v>
      </c>
      <c r="B1793" s="5" t="s">
        <v>1788</v>
      </c>
      <c r="C1793" s="6">
        <v>18710</v>
      </c>
      <c r="D1793" s="6">
        <v>18664</v>
      </c>
      <c r="E1793" s="6">
        <v>19064</v>
      </c>
      <c r="F1793" s="6">
        <v>20106</v>
      </c>
      <c r="G1793" s="6">
        <v>20675</v>
      </c>
      <c r="H1793" s="6">
        <v>21954</v>
      </c>
      <c r="I1793" s="1" t="str">
        <f t="shared" si="54"/>
        <v xml:space="preserve"> Florida</v>
      </c>
      <c r="J1793" s="1" t="str">
        <f t="shared" si="55"/>
        <v>Lynn Haven city</v>
      </c>
      <c r="K1793" s="1">
        <f>IF(COUNTIF($I$5:I1793,I1793)=1,1,0)</f>
        <v>0</v>
      </c>
    </row>
    <row r="1794" spans="1:11" x14ac:dyDescent="0.2">
      <c r="A1794" s="9">
        <v>1790</v>
      </c>
      <c r="B1794" s="5" t="s">
        <v>1789</v>
      </c>
      <c r="C1794" s="6">
        <v>21433</v>
      </c>
      <c r="D1794" s="6">
        <v>21468</v>
      </c>
      <c r="E1794" s="6">
        <v>21708</v>
      </c>
      <c r="F1794" s="6">
        <v>21765</v>
      </c>
      <c r="G1794" s="6">
        <v>21865</v>
      </c>
      <c r="H1794" s="6">
        <v>21941</v>
      </c>
      <c r="I1794" s="1" t="str">
        <f t="shared" si="54"/>
        <v xml:space="preserve"> Texas</v>
      </c>
      <c r="J1794" s="1" t="str">
        <f t="shared" si="55"/>
        <v>Dickinson city</v>
      </c>
      <c r="K1794" s="1">
        <f>IF(COUNTIF($I$5:I1794,I1794)=1,1,0)</f>
        <v>0</v>
      </c>
    </row>
    <row r="1795" spans="1:11" x14ac:dyDescent="0.2">
      <c r="A1795" s="9">
        <v>1791</v>
      </c>
      <c r="B1795" s="5" t="s">
        <v>1790</v>
      </c>
      <c r="C1795" s="6">
        <v>20600</v>
      </c>
      <c r="D1795" s="6">
        <v>20558</v>
      </c>
      <c r="E1795" s="6">
        <v>20873</v>
      </c>
      <c r="F1795" s="6">
        <v>21807</v>
      </c>
      <c r="G1795" s="6">
        <v>21766</v>
      </c>
      <c r="H1795" s="6">
        <v>21920</v>
      </c>
      <c r="I1795" s="1" t="str">
        <f t="shared" si="54"/>
        <v xml:space="preserve"> Minnesota</v>
      </c>
      <c r="J1795" s="1" t="str">
        <f t="shared" si="55"/>
        <v>West St. Paul city</v>
      </c>
      <c r="K1795" s="1">
        <f>IF(COUNTIF($I$5:I1795,I1795)=1,1,0)</f>
        <v>0</v>
      </c>
    </row>
    <row r="1796" spans="1:11" x14ac:dyDescent="0.2">
      <c r="A1796" s="9">
        <v>1792</v>
      </c>
      <c r="B1796" s="5" t="s">
        <v>1791</v>
      </c>
      <c r="C1796" s="6">
        <v>21657</v>
      </c>
      <c r="D1796" s="6">
        <v>21625</v>
      </c>
      <c r="E1796" s="6">
        <v>21614</v>
      </c>
      <c r="F1796" s="6">
        <v>21633</v>
      </c>
      <c r="G1796" s="6">
        <v>21800</v>
      </c>
      <c r="H1796" s="6">
        <v>21919</v>
      </c>
      <c r="I1796" s="1" t="str">
        <f t="shared" si="54"/>
        <v xml:space="preserve"> New Jersey</v>
      </c>
      <c r="J1796" s="1" t="str">
        <f t="shared" si="55"/>
        <v>Lindenwold borough</v>
      </c>
      <c r="K1796" s="1">
        <f>IF(COUNTIF($I$5:I1796,I1796)=1,1,0)</f>
        <v>0</v>
      </c>
    </row>
    <row r="1797" spans="1:11" x14ac:dyDescent="0.2">
      <c r="A1797" s="9">
        <v>1793</v>
      </c>
      <c r="B1797" s="5" t="s">
        <v>1792</v>
      </c>
      <c r="C1797" s="6">
        <v>20481</v>
      </c>
      <c r="D1797" s="6">
        <v>20503</v>
      </c>
      <c r="E1797" s="6">
        <v>20832</v>
      </c>
      <c r="F1797" s="6">
        <v>21157</v>
      </c>
      <c r="G1797" s="6">
        <v>21275</v>
      </c>
      <c r="H1797" s="6">
        <v>21904</v>
      </c>
      <c r="I1797" s="1" t="str">
        <f t="shared" si="54"/>
        <v xml:space="preserve"> Iowa</v>
      </c>
      <c r="J1797" s="1" t="str">
        <f t="shared" si="55"/>
        <v>North Liberty city</v>
      </c>
      <c r="K1797" s="1">
        <f>IF(COUNTIF($I$5:I1797,I1797)=1,1,0)</f>
        <v>0</v>
      </c>
    </row>
    <row r="1798" spans="1:11" x14ac:dyDescent="0.2">
      <c r="A1798" s="9">
        <v>1794</v>
      </c>
      <c r="B1798" s="5" t="s">
        <v>1793</v>
      </c>
      <c r="C1798" s="6">
        <v>21028</v>
      </c>
      <c r="D1798" s="6">
        <v>21042</v>
      </c>
      <c r="E1798" s="6">
        <v>21103</v>
      </c>
      <c r="F1798" s="6">
        <v>21324</v>
      </c>
      <c r="G1798" s="6">
        <v>21568</v>
      </c>
      <c r="H1798" s="6">
        <v>21892</v>
      </c>
      <c r="I1798" s="1" t="str">
        <f t="shared" ref="I1798:I1861" si="56">_xlfn.TEXTAFTER(B1798,",")</f>
        <v xml:space="preserve"> Minnesota</v>
      </c>
      <c r="J1798" s="1" t="str">
        <f t="shared" ref="J1798:J1861" si="57">_xlfn.TEXTBEFORE(B1798,", ")</f>
        <v>Willmar city</v>
      </c>
      <c r="K1798" s="1">
        <f>IF(COUNTIF($I$5:I1798,I1798)=1,1,0)</f>
        <v>0</v>
      </c>
    </row>
    <row r="1799" spans="1:11" x14ac:dyDescent="0.2">
      <c r="A1799" s="9">
        <v>1795</v>
      </c>
      <c r="B1799" s="5" t="s">
        <v>1794</v>
      </c>
      <c r="C1799" s="6">
        <v>21740</v>
      </c>
      <c r="D1799" s="6">
        <v>21766</v>
      </c>
      <c r="E1799" s="6">
        <v>21786</v>
      </c>
      <c r="F1799" s="6">
        <v>21746</v>
      </c>
      <c r="G1799" s="6">
        <v>21755</v>
      </c>
      <c r="H1799" s="6">
        <v>21858</v>
      </c>
      <c r="I1799" s="1" t="str">
        <f t="shared" si="56"/>
        <v xml:space="preserve"> California</v>
      </c>
      <c r="J1799" s="1" t="str">
        <f t="shared" si="57"/>
        <v>Yucca Valley town</v>
      </c>
      <c r="K1799" s="1">
        <f>IF(COUNTIF($I$5:I1799,I1799)=1,1,0)</f>
        <v>0</v>
      </c>
    </row>
    <row r="1800" spans="1:11" x14ac:dyDescent="0.2">
      <c r="A1800" s="9">
        <v>1796</v>
      </c>
      <c r="B1800" s="5" t="s">
        <v>1795</v>
      </c>
      <c r="C1800" s="6">
        <v>21147</v>
      </c>
      <c r="D1800" s="6">
        <v>21140</v>
      </c>
      <c r="E1800" s="6">
        <v>20653</v>
      </c>
      <c r="F1800" s="6">
        <v>21296</v>
      </c>
      <c r="G1800" s="6">
        <v>21667</v>
      </c>
      <c r="H1800" s="6">
        <v>21845</v>
      </c>
      <c r="I1800" s="1" t="str">
        <f t="shared" si="56"/>
        <v xml:space="preserve"> Michigan</v>
      </c>
      <c r="J1800" s="1" t="str">
        <f t="shared" si="57"/>
        <v>Marquette city</v>
      </c>
      <c r="K1800" s="1">
        <f>IF(COUNTIF($I$5:I1800,I1800)=1,1,0)</f>
        <v>0</v>
      </c>
    </row>
    <row r="1801" spans="1:11" x14ac:dyDescent="0.2">
      <c r="A1801" s="9">
        <v>1797</v>
      </c>
      <c r="B1801" s="5" t="s">
        <v>1796</v>
      </c>
      <c r="C1801" s="6">
        <v>19471</v>
      </c>
      <c r="D1801" s="6">
        <v>19454</v>
      </c>
      <c r="E1801" s="6">
        <v>19571</v>
      </c>
      <c r="F1801" s="6">
        <v>19727</v>
      </c>
      <c r="G1801" s="6">
        <v>20429</v>
      </c>
      <c r="H1801" s="6">
        <v>21829</v>
      </c>
      <c r="I1801" s="1" t="str">
        <f t="shared" si="56"/>
        <v xml:space="preserve"> North Carolina</v>
      </c>
      <c r="J1801" s="1" t="str">
        <f t="shared" si="57"/>
        <v>Knightdale town</v>
      </c>
      <c r="K1801" s="1">
        <f>IF(COUNTIF($I$5:I1801,I1801)=1,1,0)</f>
        <v>0</v>
      </c>
    </row>
    <row r="1802" spans="1:11" x14ac:dyDescent="0.2">
      <c r="A1802" s="9">
        <v>1798</v>
      </c>
      <c r="B1802" s="5" t="s">
        <v>1797</v>
      </c>
      <c r="C1802" s="6">
        <v>22562</v>
      </c>
      <c r="D1802" s="6">
        <v>22470</v>
      </c>
      <c r="E1802" s="6">
        <v>22048</v>
      </c>
      <c r="F1802" s="6">
        <v>21749</v>
      </c>
      <c r="G1802" s="6">
        <v>21673</v>
      </c>
      <c r="H1802" s="6">
        <v>21805</v>
      </c>
      <c r="I1802" s="1" t="str">
        <f t="shared" si="56"/>
        <v xml:space="preserve"> Illinois</v>
      </c>
      <c r="J1802" s="1" t="str">
        <f t="shared" si="57"/>
        <v>Blue Island city</v>
      </c>
      <c r="K1802" s="1">
        <f>IF(COUNTIF($I$5:I1802,I1802)=1,1,0)</f>
        <v>0</v>
      </c>
    </row>
    <row r="1803" spans="1:11" x14ac:dyDescent="0.2">
      <c r="A1803" s="9">
        <v>1799</v>
      </c>
      <c r="B1803" s="5" t="s">
        <v>1798</v>
      </c>
      <c r="C1803" s="6">
        <v>21253</v>
      </c>
      <c r="D1803" s="6">
        <v>21277</v>
      </c>
      <c r="E1803" s="6">
        <v>21842</v>
      </c>
      <c r="F1803" s="6">
        <v>21705</v>
      </c>
      <c r="G1803" s="6">
        <v>21703</v>
      </c>
      <c r="H1803" s="6">
        <v>21802</v>
      </c>
      <c r="I1803" s="1" t="str">
        <f t="shared" si="56"/>
        <v xml:space="preserve"> Wisconsin</v>
      </c>
      <c r="J1803" s="1" t="str">
        <f t="shared" si="57"/>
        <v>Pleasant Prairie village</v>
      </c>
      <c r="K1803" s="1">
        <f>IF(COUNTIF($I$5:I1803,I1803)=1,1,0)</f>
        <v>0</v>
      </c>
    </row>
    <row r="1804" spans="1:11" x14ac:dyDescent="0.2">
      <c r="A1804" s="9">
        <v>1800</v>
      </c>
      <c r="B1804" s="5" t="s">
        <v>1799</v>
      </c>
      <c r="C1804" s="6">
        <v>22051</v>
      </c>
      <c r="D1804" s="6">
        <v>22041</v>
      </c>
      <c r="E1804" s="6">
        <v>22004</v>
      </c>
      <c r="F1804" s="6">
        <v>21891</v>
      </c>
      <c r="G1804" s="6">
        <v>21853</v>
      </c>
      <c r="H1804" s="6">
        <v>21769</v>
      </c>
      <c r="I1804" s="1" t="str">
        <f t="shared" si="56"/>
        <v xml:space="preserve"> Ohio</v>
      </c>
      <c r="J1804" s="1" t="str">
        <f t="shared" si="57"/>
        <v>Chillicothe city</v>
      </c>
      <c r="K1804" s="1">
        <f>IF(COUNTIF($I$5:I1804,I1804)=1,1,0)</f>
        <v>0</v>
      </c>
    </row>
    <row r="1805" spans="1:11" x14ac:dyDescent="0.2">
      <c r="A1805" s="9">
        <v>1801</v>
      </c>
      <c r="B1805" s="5" t="s">
        <v>1800</v>
      </c>
      <c r="C1805" s="6">
        <v>21839</v>
      </c>
      <c r="D1805" s="6">
        <v>21798</v>
      </c>
      <c r="E1805" s="6">
        <v>21809</v>
      </c>
      <c r="F1805" s="6">
        <v>21638</v>
      </c>
      <c r="G1805" s="6">
        <v>21564</v>
      </c>
      <c r="H1805" s="6">
        <v>21742</v>
      </c>
      <c r="I1805" s="1" t="str">
        <f t="shared" si="56"/>
        <v xml:space="preserve"> California</v>
      </c>
      <c r="J1805" s="1" t="str">
        <f t="shared" si="57"/>
        <v>American Canyon city</v>
      </c>
      <c r="K1805" s="1">
        <f>IF(COUNTIF($I$5:I1805,I1805)=1,1,0)</f>
        <v>0</v>
      </c>
    </row>
    <row r="1806" spans="1:11" x14ac:dyDescent="0.2">
      <c r="A1806" s="9">
        <v>1802</v>
      </c>
      <c r="B1806" s="5" t="s">
        <v>1801</v>
      </c>
      <c r="C1806" s="6">
        <v>20201</v>
      </c>
      <c r="D1806" s="6">
        <v>20215</v>
      </c>
      <c r="E1806" s="6">
        <v>20289</v>
      </c>
      <c r="F1806" s="6">
        <v>20635</v>
      </c>
      <c r="G1806" s="6">
        <v>21037</v>
      </c>
      <c r="H1806" s="6">
        <v>21713</v>
      </c>
      <c r="I1806" s="1" t="str">
        <f t="shared" si="56"/>
        <v xml:space="preserve"> Vermont</v>
      </c>
      <c r="J1806" s="1" t="str">
        <f t="shared" si="57"/>
        <v>South Burlington city</v>
      </c>
      <c r="K1806" s="1">
        <f>IF(COUNTIF($I$5:I1806,I1806)=1,1,0)</f>
        <v>0</v>
      </c>
    </row>
    <row r="1807" spans="1:11" x14ac:dyDescent="0.2">
      <c r="A1807" s="9">
        <v>1803</v>
      </c>
      <c r="B1807" s="5" t="s">
        <v>1802</v>
      </c>
      <c r="C1807" s="6">
        <v>22549</v>
      </c>
      <c r="D1807" s="6">
        <v>22504</v>
      </c>
      <c r="E1807" s="6">
        <v>22243</v>
      </c>
      <c r="F1807" s="6">
        <v>21969</v>
      </c>
      <c r="G1807" s="6">
        <v>21784</v>
      </c>
      <c r="H1807" s="6">
        <v>21701</v>
      </c>
      <c r="I1807" s="1" t="str">
        <f t="shared" si="56"/>
        <v xml:space="preserve"> Alabama</v>
      </c>
      <c r="J1807" s="1" t="str">
        <f t="shared" si="57"/>
        <v>Mountain Brook city</v>
      </c>
      <c r="K1807" s="1">
        <f>IF(COUNTIF($I$5:I1807,I1807)=1,1,0)</f>
        <v>0</v>
      </c>
    </row>
    <row r="1808" spans="1:11" x14ac:dyDescent="0.2">
      <c r="A1808" s="9">
        <v>1804</v>
      </c>
      <c r="B1808" s="5" t="s">
        <v>1803</v>
      </c>
      <c r="C1808" s="6">
        <v>22807</v>
      </c>
      <c r="D1808" s="6">
        <v>22722</v>
      </c>
      <c r="E1808" s="6">
        <v>22239</v>
      </c>
      <c r="F1808" s="6">
        <v>21980</v>
      </c>
      <c r="G1808" s="6">
        <v>21815</v>
      </c>
      <c r="H1808" s="6">
        <v>21694</v>
      </c>
      <c r="I1808" s="1" t="str">
        <f t="shared" si="56"/>
        <v xml:space="preserve"> California</v>
      </c>
      <c r="J1808" s="1" t="str">
        <f t="shared" si="57"/>
        <v>Cudahy city</v>
      </c>
      <c r="K1808" s="1">
        <f>IF(COUNTIF($I$5:I1808,I1808)=1,1,0)</f>
        <v>0</v>
      </c>
    </row>
    <row r="1809" spans="1:11" x14ac:dyDescent="0.2">
      <c r="A1809" s="9">
        <v>1805</v>
      </c>
      <c r="B1809" s="5" t="s">
        <v>1804</v>
      </c>
      <c r="C1809" s="6">
        <v>18217</v>
      </c>
      <c r="D1809" s="6">
        <v>18282</v>
      </c>
      <c r="E1809" s="6">
        <v>19022</v>
      </c>
      <c r="F1809" s="6">
        <v>19996</v>
      </c>
      <c r="G1809" s="6">
        <v>21060</v>
      </c>
      <c r="H1809" s="6">
        <v>21681</v>
      </c>
      <c r="I1809" s="1" t="str">
        <f t="shared" si="56"/>
        <v xml:space="preserve"> Minnesota</v>
      </c>
      <c r="J1809" s="1" t="str">
        <f t="shared" si="57"/>
        <v>St. Michael city</v>
      </c>
      <c r="K1809" s="1">
        <f>IF(COUNTIF($I$5:I1809,I1809)=1,1,0)</f>
        <v>0</v>
      </c>
    </row>
    <row r="1810" spans="1:11" x14ac:dyDescent="0.2">
      <c r="A1810" s="9">
        <v>1806</v>
      </c>
      <c r="B1810" s="5" t="s">
        <v>1805</v>
      </c>
      <c r="C1810" s="6">
        <v>21424</v>
      </c>
      <c r="D1810" s="6">
        <v>21363</v>
      </c>
      <c r="E1810" s="6">
        <v>21300</v>
      </c>
      <c r="F1810" s="6">
        <v>21311</v>
      </c>
      <c r="G1810" s="6">
        <v>21451</v>
      </c>
      <c r="H1810" s="6">
        <v>21680</v>
      </c>
      <c r="I1810" s="1" t="str">
        <f t="shared" si="56"/>
        <v xml:space="preserve"> New Jersey</v>
      </c>
      <c r="J1810" s="1" t="str">
        <f t="shared" si="57"/>
        <v>Elmwood Park borough</v>
      </c>
      <c r="K1810" s="1">
        <f>IF(COUNTIF($I$5:I1810,I1810)=1,1,0)</f>
        <v>0</v>
      </c>
    </row>
    <row r="1811" spans="1:11" x14ac:dyDescent="0.2">
      <c r="A1811" s="9">
        <v>1807</v>
      </c>
      <c r="B1811" s="5" t="s">
        <v>1806</v>
      </c>
      <c r="C1811" s="6">
        <v>20308</v>
      </c>
      <c r="D1811" s="6">
        <v>20384</v>
      </c>
      <c r="E1811" s="6">
        <v>20716</v>
      </c>
      <c r="F1811" s="6">
        <v>21035</v>
      </c>
      <c r="G1811" s="6">
        <v>21394</v>
      </c>
      <c r="H1811" s="6">
        <v>21646</v>
      </c>
      <c r="I1811" s="1" t="str">
        <f t="shared" si="56"/>
        <v xml:space="preserve"> Colorado</v>
      </c>
      <c r="J1811" s="1" t="str">
        <f t="shared" si="57"/>
        <v>Montrose city</v>
      </c>
      <c r="K1811" s="1">
        <f>IF(COUNTIF($I$5:I1811,I1811)=1,1,0)</f>
        <v>0</v>
      </c>
    </row>
    <row r="1812" spans="1:11" x14ac:dyDescent="0.2">
      <c r="A1812" s="9">
        <v>1808</v>
      </c>
      <c r="B1812" s="5" t="s">
        <v>1807</v>
      </c>
      <c r="C1812" s="6">
        <v>21780</v>
      </c>
      <c r="D1812" s="6">
        <v>21748</v>
      </c>
      <c r="E1812" s="6">
        <v>21408</v>
      </c>
      <c r="F1812" s="6">
        <v>21198</v>
      </c>
      <c r="G1812" s="6">
        <v>21310</v>
      </c>
      <c r="H1812" s="6">
        <v>21636</v>
      </c>
      <c r="I1812" s="1" t="str">
        <f t="shared" si="56"/>
        <v xml:space="preserve"> Washington</v>
      </c>
      <c r="J1812" s="1" t="str">
        <f t="shared" si="57"/>
        <v>Tukwila city</v>
      </c>
      <c r="K1812" s="1">
        <f>IF(COUNTIF($I$5:I1812,I1812)=1,1,0)</f>
        <v>0</v>
      </c>
    </row>
    <row r="1813" spans="1:11" x14ac:dyDescent="0.2">
      <c r="A1813" s="9">
        <v>1809</v>
      </c>
      <c r="B1813" s="5" t="s">
        <v>1808</v>
      </c>
      <c r="C1813" s="6">
        <v>21157</v>
      </c>
      <c r="D1813" s="6">
        <v>21172</v>
      </c>
      <c r="E1813" s="6">
        <v>21061</v>
      </c>
      <c r="F1813" s="6">
        <v>21386</v>
      </c>
      <c r="G1813" s="6">
        <v>21651</v>
      </c>
      <c r="H1813" s="6">
        <v>21620</v>
      </c>
      <c r="I1813" s="1" t="str">
        <f t="shared" si="56"/>
        <v xml:space="preserve"> Oregon</v>
      </c>
      <c r="J1813" s="1" t="str">
        <f t="shared" si="57"/>
        <v>Milwaukie city</v>
      </c>
      <c r="K1813" s="1">
        <f>IF(COUNTIF($I$5:I1813,I1813)=1,1,0)</f>
        <v>0</v>
      </c>
    </row>
    <row r="1814" spans="1:11" x14ac:dyDescent="0.2">
      <c r="A1814" s="9">
        <v>1810</v>
      </c>
      <c r="B1814" s="5" t="s">
        <v>1809</v>
      </c>
      <c r="C1814" s="6">
        <v>20772</v>
      </c>
      <c r="D1814" s="6">
        <v>20862</v>
      </c>
      <c r="E1814" s="6">
        <v>21120</v>
      </c>
      <c r="F1814" s="6">
        <v>21300</v>
      </c>
      <c r="G1814" s="6">
        <v>21340</v>
      </c>
      <c r="H1814" s="6">
        <v>21567</v>
      </c>
      <c r="I1814" s="1" t="str">
        <f t="shared" si="56"/>
        <v xml:space="preserve"> Washington</v>
      </c>
      <c r="J1814" s="1" t="str">
        <f t="shared" si="57"/>
        <v>Covington city</v>
      </c>
      <c r="K1814" s="1">
        <f>IF(COUNTIF($I$5:I1814,I1814)=1,1,0)</f>
        <v>0</v>
      </c>
    </row>
    <row r="1815" spans="1:11" x14ac:dyDescent="0.2">
      <c r="A1815" s="9">
        <v>1811</v>
      </c>
      <c r="B1815" s="5" t="s">
        <v>1810</v>
      </c>
      <c r="C1815" s="6">
        <v>21671</v>
      </c>
      <c r="D1815" s="6">
        <v>21634</v>
      </c>
      <c r="E1815" s="6">
        <v>21450</v>
      </c>
      <c r="F1815" s="6">
        <v>21486</v>
      </c>
      <c r="G1815" s="6">
        <v>21538</v>
      </c>
      <c r="H1815" s="6">
        <v>21523</v>
      </c>
      <c r="I1815" s="1" t="str">
        <f t="shared" si="56"/>
        <v xml:space="preserve"> Ohio</v>
      </c>
      <c r="J1815" s="1" t="str">
        <f t="shared" si="57"/>
        <v>Alliance city</v>
      </c>
      <c r="K1815" s="1">
        <f>IF(COUNTIF($I$5:I1815,I1815)=1,1,0)</f>
        <v>0</v>
      </c>
    </row>
    <row r="1816" spans="1:11" x14ac:dyDescent="0.2">
      <c r="A1816" s="9">
        <v>1812</v>
      </c>
      <c r="B1816" s="5" t="s">
        <v>1811</v>
      </c>
      <c r="C1816" s="6">
        <v>13642</v>
      </c>
      <c r="D1816" s="6">
        <v>14091</v>
      </c>
      <c r="E1816" s="6">
        <v>18082</v>
      </c>
      <c r="F1816" s="6">
        <v>19014</v>
      </c>
      <c r="G1816" s="6">
        <v>20325</v>
      </c>
      <c r="H1816" s="6">
        <v>21500</v>
      </c>
      <c r="I1816" s="1" t="str">
        <f t="shared" si="56"/>
        <v xml:space="preserve"> Texas</v>
      </c>
      <c r="J1816" s="1" t="str">
        <f t="shared" si="57"/>
        <v>Manor city</v>
      </c>
      <c r="K1816" s="1">
        <f>IF(COUNTIF($I$5:I1816,I1816)=1,1,0)</f>
        <v>0</v>
      </c>
    </row>
    <row r="1817" spans="1:11" x14ac:dyDescent="0.2">
      <c r="A1817" s="9">
        <v>1813</v>
      </c>
      <c r="B1817" s="5" t="s">
        <v>1812</v>
      </c>
      <c r="C1817" s="6">
        <v>22000</v>
      </c>
      <c r="D1817" s="6">
        <v>21969</v>
      </c>
      <c r="E1817" s="6">
        <v>21888</v>
      </c>
      <c r="F1817" s="6">
        <v>21671</v>
      </c>
      <c r="G1817" s="6">
        <v>21589</v>
      </c>
      <c r="H1817" s="6">
        <v>21476</v>
      </c>
      <c r="I1817" s="1" t="str">
        <f t="shared" si="56"/>
        <v xml:space="preserve"> Mississippi</v>
      </c>
      <c r="J1817" s="1" t="str">
        <f t="shared" si="57"/>
        <v>Pascagoula city</v>
      </c>
      <c r="K1817" s="1">
        <f>IF(COUNTIF($I$5:I1817,I1817)=1,1,0)</f>
        <v>0</v>
      </c>
    </row>
    <row r="1818" spans="1:11" x14ac:dyDescent="0.2">
      <c r="A1818" s="9">
        <v>1814</v>
      </c>
      <c r="B1818" s="5" t="s">
        <v>1813</v>
      </c>
      <c r="C1818" s="6">
        <v>21751</v>
      </c>
      <c r="D1818" s="6">
        <v>21723</v>
      </c>
      <c r="E1818" s="6">
        <v>21548</v>
      </c>
      <c r="F1818" s="6">
        <v>21382</v>
      </c>
      <c r="G1818" s="6">
        <v>21330</v>
      </c>
      <c r="H1818" s="6">
        <v>21468</v>
      </c>
      <c r="I1818" s="1" t="str">
        <f t="shared" si="56"/>
        <v xml:space="preserve"> Ohio</v>
      </c>
      <c r="J1818" s="1" t="str">
        <f t="shared" si="57"/>
        <v>Rocky River city</v>
      </c>
      <c r="K1818" s="1">
        <f>IF(COUNTIF($I$5:I1818,I1818)=1,1,0)</f>
        <v>0</v>
      </c>
    </row>
    <row r="1819" spans="1:11" x14ac:dyDescent="0.2">
      <c r="A1819" s="9">
        <v>1815</v>
      </c>
      <c r="B1819" s="5" t="s">
        <v>1814</v>
      </c>
      <c r="C1819" s="6">
        <v>20081</v>
      </c>
      <c r="D1819" s="6">
        <v>20165</v>
      </c>
      <c r="E1819" s="6">
        <v>20557</v>
      </c>
      <c r="F1819" s="6">
        <v>20738</v>
      </c>
      <c r="G1819" s="6">
        <v>21055</v>
      </c>
      <c r="H1819" s="6">
        <v>21464</v>
      </c>
      <c r="I1819" s="1" t="str">
        <f t="shared" si="56"/>
        <v xml:space="preserve"> Virginia</v>
      </c>
      <c r="J1819" s="1" t="str">
        <f t="shared" si="57"/>
        <v>Culpeper town</v>
      </c>
      <c r="K1819" s="1">
        <f>IF(COUNTIF($I$5:I1819,I1819)=1,1,0)</f>
        <v>0</v>
      </c>
    </row>
    <row r="1820" spans="1:11" x14ac:dyDescent="0.2">
      <c r="A1820" s="9">
        <v>1816</v>
      </c>
      <c r="B1820" s="5" t="s">
        <v>1815</v>
      </c>
      <c r="C1820" s="6">
        <v>18763</v>
      </c>
      <c r="D1820" s="6">
        <v>18903</v>
      </c>
      <c r="E1820" s="6">
        <v>19239</v>
      </c>
      <c r="F1820" s="6">
        <v>19723</v>
      </c>
      <c r="G1820" s="6">
        <v>20176</v>
      </c>
      <c r="H1820" s="6">
        <v>21392</v>
      </c>
      <c r="I1820" s="1" t="str">
        <f t="shared" si="56"/>
        <v xml:space="preserve"> Missouri</v>
      </c>
      <c r="J1820" s="1" t="str">
        <f t="shared" si="57"/>
        <v>Republic city</v>
      </c>
      <c r="K1820" s="1">
        <f>IF(COUNTIF($I$5:I1820,I1820)=1,1,0)</f>
        <v>0</v>
      </c>
    </row>
    <row r="1821" spans="1:11" x14ac:dyDescent="0.2">
      <c r="A1821" s="9">
        <v>1817</v>
      </c>
      <c r="B1821" s="5" t="s">
        <v>1816</v>
      </c>
      <c r="C1821" s="6">
        <v>20405</v>
      </c>
      <c r="D1821" s="6">
        <v>20435</v>
      </c>
      <c r="E1821" s="6">
        <v>20683</v>
      </c>
      <c r="F1821" s="6">
        <v>20684</v>
      </c>
      <c r="G1821" s="6">
        <v>20693</v>
      </c>
      <c r="H1821" s="6">
        <v>21386</v>
      </c>
      <c r="I1821" s="1" t="str">
        <f t="shared" si="56"/>
        <v xml:space="preserve"> Maine</v>
      </c>
      <c r="J1821" s="1" t="str">
        <f t="shared" si="57"/>
        <v>Westbrook city</v>
      </c>
      <c r="K1821" s="1">
        <f>IF(COUNTIF($I$5:I1821,I1821)=1,1,0)</f>
        <v>0</v>
      </c>
    </row>
    <row r="1822" spans="1:11" x14ac:dyDescent="0.2">
      <c r="A1822" s="9">
        <v>1818</v>
      </c>
      <c r="B1822" s="5" t="s">
        <v>1817</v>
      </c>
      <c r="C1822" s="6">
        <v>21282</v>
      </c>
      <c r="D1822" s="6">
        <v>21222</v>
      </c>
      <c r="E1822" s="6">
        <v>21028</v>
      </c>
      <c r="F1822" s="6">
        <v>21017</v>
      </c>
      <c r="G1822" s="6">
        <v>21104</v>
      </c>
      <c r="H1822" s="6">
        <v>21381</v>
      </c>
      <c r="I1822" s="1" t="str">
        <f t="shared" si="56"/>
        <v xml:space="preserve"> Massachusetts</v>
      </c>
      <c r="J1822" s="1" t="str">
        <f t="shared" si="57"/>
        <v>Gardner city</v>
      </c>
      <c r="K1822" s="1">
        <f>IF(COUNTIF($I$5:I1822,I1822)=1,1,0)</f>
        <v>0</v>
      </c>
    </row>
    <row r="1823" spans="1:11" x14ac:dyDescent="0.2">
      <c r="A1823" s="9">
        <v>1819</v>
      </c>
      <c r="B1823" s="5" t="s">
        <v>1818</v>
      </c>
      <c r="C1823" s="6">
        <v>21891</v>
      </c>
      <c r="D1823" s="6">
        <v>21846</v>
      </c>
      <c r="E1823" s="6">
        <v>21626</v>
      </c>
      <c r="F1823" s="6">
        <v>21442</v>
      </c>
      <c r="G1823" s="6">
        <v>21361</v>
      </c>
      <c r="H1823" s="6">
        <v>21363</v>
      </c>
      <c r="I1823" s="1" t="str">
        <f t="shared" si="56"/>
        <v xml:space="preserve"> Ohio</v>
      </c>
      <c r="J1823" s="1" t="str">
        <f t="shared" si="57"/>
        <v>South Euclid city</v>
      </c>
      <c r="K1823" s="1">
        <f>IF(COUNTIF($I$5:I1823,I1823)=1,1,0)</f>
        <v>0</v>
      </c>
    </row>
    <row r="1824" spans="1:11" x14ac:dyDescent="0.2">
      <c r="A1824" s="9">
        <v>1820</v>
      </c>
      <c r="B1824" s="5" t="s">
        <v>1819</v>
      </c>
      <c r="C1824" s="6">
        <v>21933</v>
      </c>
      <c r="D1824" s="6">
        <v>21900</v>
      </c>
      <c r="E1824" s="6">
        <v>21757</v>
      </c>
      <c r="F1824" s="6">
        <v>21525</v>
      </c>
      <c r="G1824" s="6">
        <v>21435</v>
      </c>
      <c r="H1824" s="6">
        <v>21332</v>
      </c>
      <c r="I1824" s="1" t="str">
        <f t="shared" si="56"/>
        <v xml:space="preserve"> Pennsylvania</v>
      </c>
      <c r="J1824" s="1" t="str">
        <f t="shared" si="57"/>
        <v>New Castle city</v>
      </c>
      <c r="K1824" s="1">
        <f>IF(COUNTIF($I$5:I1824,I1824)=1,1,0)</f>
        <v>0</v>
      </c>
    </row>
    <row r="1825" spans="1:11" x14ac:dyDescent="0.2">
      <c r="A1825" s="9">
        <v>1821</v>
      </c>
      <c r="B1825" s="5" t="s">
        <v>1820</v>
      </c>
      <c r="C1825" s="6">
        <v>21965</v>
      </c>
      <c r="D1825" s="6">
        <v>21940</v>
      </c>
      <c r="E1825" s="6">
        <v>21790</v>
      </c>
      <c r="F1825" s="6">
        <v>21505</v>
      </c>
      <c r="G1825" s="6">
        <v>21356</v>
      </c>
      <c r="H1825" s="6">
        <v>21325</v>
      </c>
      <c r="I1825" s="1" t="str">
        <f t="shared" si="56"/>
        <v xml:space="preserve"> California</v>
      </c>
      <c r="J1825" s="1" t="str">
        <f t="shared" si="57"/>
        <v>Port Hueneme city</v>
      </c>
      <c r="K1825" s="1">
        <f>IF(COUNTIF($I$5:I1825,I1825)=1,1,0)</f>
        <v>0</v>
      </c>
    </row>
    <row r="1826" spans="1:11" x14ac:dyDescent="0.2">
      <c r="A1826" s="9">
        <v>1822</v>
      </c>
      <c r="B1826" s="5" t="s">
        <v>1821</v>
      </c>
      <c r="C1826" s="6">
        <v>19365</v>
      </c>
      <c r="D1826" s="6">
        <v>19274</v>
      </c>
      <c r="E1826" s="6">
        <v>18927</v>
      </c>
      <c r="F1826" s="6">
        <v>19873</v>
      </c>
      <c r="G1826" s="6">
        <v>21018</v>
      </c>
      <c r="H1826" s="6">
        <v>21321</v>
      </c>
      <c r="I1826" s="1" t="str">
        <f t="shared" si="56"/>
        <v xml:space="preserve"> Florida</v>
      </c>
      <c r="J1826" s="1" t="str">
        <f t="shared" si="57"/>
        <v>Sweetwater city</v>
      </c>
      <c r="K1826" s="1">
        <f>IF(COUNTIF($I$5:I1826,I1826)=1,1,0)</f>
        <v>0</v>
      </c>
    </row>
    <row r="1827" spans="1:11" x14ac:dyDescent="0.2">
      <c r="A1827" s="9">
        <v>1823</v>
      </c>
      <c r="B1827" s="5" t="s">
        <v>1822</v>
      </c>
      <c r="C1827" s="6">
        <v>20815</v>
      </c>
      <c r="D1827" s="6">
        <v>20820</v>
      </c>
      <c r="E1827" s="6">
        <v>20832</v>
      </c>
      <c r="F1827" s="6">
        <v>20972</v>
      </c>
      <c r="G1827" s="6">
        <v>21176</v>
      </c>
      <c r="H1827" s="6">
        <v>21316</v>
      </c>
      <c r="I1827" s="1" t="str">
        <f t="shared" si="56"/>
        <v xml:space="preserve"> Minnesota</v>
      </c>
      <c r="J1827" s="1" t="str">
        <f t="shared" si="57"/>
        <v>Northfield city</v>
      </c>
      <c r="K1827" s="1">
        <f>IF(COUNTIF($I$5:I1827,I1827)=1,1,0)</f>
        <v>0</v>
      </c>
    </row>
    <row r="1828" spans="1:11" x14ac:dyDescent="0.2">
      <c r="A1828" s="9">
        <v>1824</v>
      </c>
      <c r="B1828" s="5" t="s">
        <v>1823</v>
      </c>
      <c r="C1828" s="6">
        <v>20809</v>
      </c>
      <c r="D1828" s="6">
        <v>20849</v>
      </c>
      <c r="E1828" s="6">
        <v>21413</v>
      </c>
      <c r="F1828" s="6">
        <v>21273</v>
      </c>
      <c r="G1828" s="6">
        <v>21233</v>
      </c>
      <c r="H1828" s="6">
        <v>21305</v>
      </c>
      <c r="I1828" s="1" t="str">
        <f t="shared" si="56"/>
        <v xml:space="preserve"> New York</v>
      </c>
      <c r="J1828" s="1" t="str">
        <f t="shared" si="57"/>
        <v>Mineola village</v>
      </c>
      <c r="K1828" s="1">
        <f>IF(COUNTIF($I$5:I1828,I1828)=1,1,0)</f>
        <v>0</v>
      </c>
    </row>
    <row r="1829" spans="1:11" x14ac:dyDescent="0.2">
      <c r="A1829" s="9">
        <v>1825</v>
      </c>
      <c r="B1829" s="5" t="s">
        <v>1824</v>
      </c>
      <c r="C1829" s="6">
        <v>21526</v>
      </c>
      <c r="D1829" s="6">
        <v>21508</v>
      </c>
      <c r="E1829" s="6">
        <v>21419</v>
      </c>
      <c r="F1829" s="6">
        <v>21234</v>
      </c>
      <c r="G1829" s="6">
        <v>21220</v>
      </c>
      <c r="H1829" s="6">
        <v>21299</v>
      </c>
      <c r="I1829" s="1" t="str">
        <f t="shared" si="56"/>
        <v xml:space="preserve"> Washington</v>
      </c>
      <c r="J1829" s="1" t="str">
        <f t="shared" si="57"/>
        <v>Mukilteo city</v>
      </c>
      <c r="K1829" s="1">
        <f>IF(COUNTIF($I$5:I1829,I1829)=1,1,0)</f>
        <v>0</v>
      </c>
    </row>
    <row r="1830" spans="1:11" x14ac:dyDescent="0.2">
      <c r="A1830" s="9">
        <v>1826</v>
      </c>
      <c r="B1830" s="5" t="s">
        <v>1825</v>
      </c>
      <c r="C1830" s="6">
        <v>21812</v>
      </c>
      <c r="D1830" s="6">
        <v>21804</v>
      </c>
      <c r="E1830" s="6">
        <v>21594</v>
      </c>
      <c r="F1830" s="6">
        <v>21465</v>
      </c>
      <c r="G1830" s="6">
        <v>21375</v>
      </c>
      <c r="H1830" s="6">
        <v>21272</v>
      </c>
      <c r="I1830" s="1" t="str">
        <f t="shared" si="56"/>
        <v xml:space="preserve"> Oklahoma</v>
      </c>
      <c r="J1830" s="1" t="str">
        <f t="shared" si="57"/>
        <v>Del City city</v>
      </c>
      <c r="K1830" s="1">
        <f>IF(COUNTIF($I$5:I1830,I1830)=1,1,0)</f>
        <v>0</v>
      </c>
    </row>
    <row r="1831" spans="1:11" x14ac:dyDescent="0.2">
      <c r="A1831" s="9">
        <v>1827</v>
      </c>
      <c r="B1831" s="5" t="s">
        <v>1826</v>
      </c>
      <c r="C1831" s="6">
        <v>22556</v>
      </c>
      <c r="D1831" s="6">
        <v>22478</v>
      </c>
      <c r="E1831" s="6">
        <v>21995</v>
      </c>
      <c r="F1831" s="6">
        <v>21586</v>
      </c>
      <c r="G1831" s="6">
        <v>21293</v>
      </c>
      <c r="H1831" s="6">
        <v>21263</v>
      </c>
      <c r="I1831" s="1" t="str">
        <f t="shared" si="56"/>
        <v xml:space="preserve"> Minnesota</v>
      </c>
      <c r="J1831" s="1" t="str">
        <f t="shared" si="57"/>
        <v>Golden Valley city</v>
      </c>
      <c r="K1831" s="1">
        <f>IF(COUNTIF($I$5:I1831,I1831)=1,1,0)</f>
        <v>0</v>
      </c>
    </row>
    <row r="1832" spans="1:11" x14ac:dyDescent="0.2">
      <c r="A1832" s="9">
        <v>1828</v>
      </c>
      <c r="B1832" s="5" t="s">
        <v>1827</v>
      </c>
      <c r="C1832" s="6">
        <v>21258</v>
      </c>
      <c r="D1832" s="6">
        <v>21218</v>
      </c>
      <c r="E1832" s="6">
        <v>21146</v>
      </c>
      <c r="F1832" s="6">
        <v>21061</v>
      </c>
      <c r="G1832" s="6">
        <v>21118</v>
      </c>
      <c r="H1832" s="6">
        <v>21262</v>
      </c>
      <c r="I1832" s="1" t="str">
        <f t="shared" si="56"/>
        <v xml:space="preserve"> Illinois</v>
      </c>
      <c r="J1832" s="1" t="str">
        <f t="shared" si="57"/>
        <v>Grayslake village</v>
      </c>
      <c r="K1832" s="1">
        <f>IF(COUNTIF($I$5:I1832,I1832)=1,1,0)</f>
        <v>0</v>
      </c>
    </row>
    <row r="1833" spans="1:11" x14ac:dyDescent="0.2">
      <c r="A1833" s="9">
        <v>1829</v>
      </c>
      <c r="B1833" s="5" t="s">
        <v>1828</v>
      </c>
      <c r="C1833" s="6">
        <v>21336</v>
      </c>
      <c r="D1833" s="6">
        <v>21303</v>
      </c>
      <c r="E1833" s="6">
        <v>21441</v>
      </c>
      <c r="F1833" s="6">
        <v>21221</v>
      </c>
      <c r="G1833" s="6">
        <v>21153</v>
      </c>
      <c r="H1833" s="6">
        <v>21225</v>
      </c>
      <c r="I1833" s="1" t="str">
        <f t="shared" si="56"/>
        <v xml:space="preserve"> California</v>
      </c>
      <c r="J1833" s="1" t="str">
        <f t="shared" si="57"/>
        <v>South Lake Tahoe city</v>
      </c>
      <c r="K1833" s="1">
        <f>IF(COUNTIF($I$5:I1833,I1833)=1,1,0)</f>
        <v>0</v>
      </c>
    </row>
    <row r="1834" spans="1:11" x14ac:dyDescent="0.2">
      <c r="A1834" s="9">
        <v>1830</v>
      </c>
      <c r="B1834" s="5" t="s">
        <v>1829</v>
      </c>
      <c r="C1834" s="6">
        <v>21140</v>
      </c>
      <c r="D1834" s="6">
        <v>21152</v>
      </c>
      <c r="E1834" s="6">
        <v>21088</v>
      </c>
      <c r="F1834" s="6">
        <v>21111</v>
      </c>
      <c r="G1834" s="6">
        <v>21149</v>
      </c>
      <c r="H1834" s="6">
        <v>21213</v>
      </c>
      <c r="I1834" s="1" t="str">
        <f t="shared" si="56"/>
        <v xml:space="preserve"> Kansas</v>
      </c>
      <c r="J1834" s="1" t="str">
        <f t="shared" si="57"/>
        <v>Hays city</v>
      </c>
      <c r="K1834" s="1">
        <f>IF(COUNTIF($I$5:I1834,I1834)=1,1,0)</f>
        <v>0</v>
      </c>
    </row>
    <row r="1835" spans="1:11" x14ac:dyDescent="0.2">
      <c r="A1835" s="9">
        <v>1831</v>
      </c>
      <c r="B1835" s="5" t="s">
        <v>1830</v>
      </c>
      <c r="C1835" s="6">
        <v>20923</v>
      </c>
      <c r="D1835" s="6">
        <v>20930</v>
      </c>
      <c r="E1835" s="6">
        <v>20948</v>
      </c>
      <c r="F1835" s="6">
        <v>21067</v>
      </c>
      <c r="G1835" s="6">
        <v>21055</v>
      </c>
      <c r="H1835" s="6">
        <v>21188</v>
      </c>
      <c r="I1835" s="1" t="str">
        <f t="shared" si="56"/>
        <v xml:space="preserve"> Florida</v>
      </c>
      <c r="J1835" s="1" t="str">
        <f t="shared" si="57"/>
        <v>Fort Walton Beach city</v>
      </c>
      <c r="K1835" s="1">
        <f>IF(COUNTIF($I$5:I1835,I1835)=1,1,0)</f>
        <v>0</v>
      </c>
    </row>
    <row r="1836" spans="1:11" x14ac:dyDescent="0.2">
      <c r="A1836" s="9">
        <v>1832</v>
      </c>
      <c r="B1836" s="5" t="s">
        <v>1831</v>
      </c>
      <c r="C1836" s="6">
        <v>21370</v>
      </c>
      <c r="D1836" s="6">
        <v>21337</v>
      </c>
      <c r="E1836" s="6">
        <v>21274</v>
      </c>
      <c r="F1836" s="6">
        <v>21240</v>
      </c>
      <c r="G1836" s="6">
        <v>21206</v>
      </c>
      <c r="H1836" s="6">
        <v>21168</v>
      </c>
      <c r="I1836" s="1" t="str">
        <f t="shared" si="56"/>
        <v xml:space="preserve"> Illinois</v>
      </c>
      <c r="J1836" s="1" t="str">
        <f t="shared" si="57"/>
        <v>Geneva city</v>
      </c>
      <c r="K1836" s="1">
        <f>IF(COUNTIF($I$5:I1836,I1836)=1,1,0)</f>
        <v>0</v>
      </c>
    </row>
    <row r="1837" spans="1:11" x14ac:dyDescent="0.2">
      <c r="A1837" s="9">
        <v>1833</v>
      </c>
      <c r="B1837" s="5" t="s">
        <v>1832</v>
      </c>
      <c r="C1837" s="6">
        <v>20299</v>
      </c>
      <c r="D1837" s="6">
        <v>20312</v>
      </c>
      <c r="E1837" s="6">
        <v>20519</v>
      </c>
      <c r="F1837" s="6">
        <v>20706</v>
      </c>
      <c r="G1837" s="6">
        <v>20973</v>
      </c>
      <c r="H1837" s="6">
        <v>21160</v>
      </c>
      <c r="I1837" s="1" t="str">
        <f t="shared" si="56"/>
        <v xml:space="preserve"> Illinois</v>
      </c>
      <c r="J1837" s="1" t="str">
        <f t="shared" si="57"/>
        <v>Frankfort village</v>
      </c>
      <c r="K1837" s="1">
        <f>IF(COUNTIF($I$5:I1837,I1837)=1,1,0)</f>
        <v>0</v>
      </c>
    </row>
    <row r="1838" spans="1:11" x14ac:dyDescent="0.2">
      <c r="A1838" s="9">
        <v>1834</v>
      </c>
      <c r="B1838" s="5" t="s">
        <v>1833</v>
      </c>
      <c r="C1838" s="6">
        <v>19354</v>
      </c>
      <c r="D1838" s="6">
        <v>19378</v>
      </c>
      <c r="E1838" s="6">
        <v>19630</v>
      </c>
      <c r="F1838" s="6">
        <v>19976</v>
      </c>
      <c r="G1838" s="6">
        <v>20391</v>
      </c>
      <c r="H1838" s="6">
        <v>21146</v>
      </c>
      <c r="I1838" s="1" t="str">
        <f t="shared" si="56"/>
        <v xml:space="preserve"> Utah</v>
      </c>
      <c r="J1838" s="1" t="str">
        <f t="shared" si="57"/>
        <v>Highland city</v>
      </c>
      <c r="K1838" s="1">
        <f>IF(COUNTIF($I$5:I1838,I1838)=1,1,0)</f>
        <v>0</v>
      </c>
    </row>
    <row r="1839" spans="1:11" x14ac:dyDescent="0.2">
      <c r="A1839" s="9">
        <v>1835</v>
      </c>
      <c r="B1839" s="5" t="s">
        <v>1834</v>
      </c>
      <c r="C1839" s="6">
        <v>21567</v>
      </c>
      <c r="D1839" s="6">
        <v>21520</v>
      </c>
      <c r="E1839" s="6">
        <v>21355</v>
      </c>
      <c r="F1839" s="6">
        <v>21195</v>
      </c>
      <c r="G1839" s="6">
        <v>21182</v>
      </c>
      <c r="H1839" s="6">
        <v>21127</v>
      </c>
      <c r="I1839" s="1" t="str">
        <f t="shared" si="56"/>
        <v xml:space="preserve"> Alabama</v>
      </c>
      <c r="J1839" s="1" t="str">
        <f t="shared" si="57"/>
        <v>Anniston city</v>
      </c>
      <c r="K1839" s="1">
        <f>IF(COUNTIF($I$5:I1839,I1839)=1,1,0)</f>
        <v>0</v>
      </c>
    </row>
    <row r="1840" spans="1:11" x14ac:dyDescent="0.2">
      <c r="A1840" s="9">
        <v>1836</v>
      </c>
      <c r="B1840" s="5" t="s">
        <v>1835</v>
      </c>
      <c r="C1840" s="6">
        <v>21005</v>
      </c>
      <c r="D1840" s="6">
        <v>21082</v>
      </c>
      <c r="E1840" s="6">
        <v>21221</v>
      </c>
      <c r="F1840" s="6">
        <v>21287</v>
      </c>
      <c r="G1840" s="6">
        <v>21173</v>
      </c>
      <c r="H1840" s="6">
        <v>21109</v>
      </c>
      <c r="I1840" s="1" t="str">
        <f t="shared" si="56"/>
        <v xml:space="preserve"> Texas</v>
      </c>
      <c r="J1840" s="1" t="str">
        <f t="shared" si="57"/>
        <v>Murphy city</v>
      </c>
      <c r="K1840" s="1">
        <f>IF(COUNTIF($I$5:I1840,I1840)=1,1,0)</f>
        <v>0</v>
      </c>
    </row>
    <row r="1841" spans="1:11" x14ac:dyDescent="0.2">
      <c r="A1841" s="9">
        <v>1837</v>
      </c>
      <c r="B1841" s="5" t="s">
        <v>1836</v>
      </c>
      <c r="C1841" s="6">
        <v>21703</v>
      </c>
      <c r="D1841" s="6">
        <v>21727</v>
      </c>
      <c r="E1841" s="6">
        <v>21318</v>
      </c>
      <c r="F1841" s="6">
        <v>21106</v>
      </c>
      <c r="G1841" s="6">
        <v>20968</v>
      </c>
      <c r="H1841" s="6">
        <v>21090</v>
      </c>
      <c r="I1841" s="1" t="str">
        <f t="shared" si="56"/>
        <v xml:space="preserve"> Michigan</v>
      </c>
      <c r="J1841" s="1" t="str">
        <f t="shared" si="57"/>
        <v>Mount Pleasant city</v>
      </c>
      <c r="K1841" s="1">
        <f>IF(COUNTIF($I$5:I1841,I1841)=1,1,0)</f>
        <v>0</v>
      </c>
    </row>
    <row r="1842" spans="1:11" x14ac:dyDescent="0.2">
      <c r="A1842" s="9">
        <v>1838</v>
      </c>
      <c r="B1842" s="5" t="s">
        <v>1837</v>
      </c>
      <c r="C1842" s="6">
        <v>21292</v>
      </c>
      <c r="D1842" s="6">
        <v>21281</v>
      </c>
      <c r="E1842" s="6">
        <v>21182</v>
      </c>
      <c r="F1842" s="6">
        <v>21286</v>
      </c>
      <c r="G1842" s="6">
        <v>21253</v>
      </c>
      <c r="H1842" s="6">
        <v>21079</v>
      </c>
      <c r="I1842" s="1" t="str">
        <f t="shared" si="56"/>
        <v xml:space="preserve"> North Carolina</v>
      </c>
      <c r="J1842" s="1" t="str">
        <f t="shared" si="57"/>
        <v>Carrboro town</v>
      </c>
      <c r="K1842" s="1">
        <f>IF(COUNTIF($I$5:I1842,I1842)=1,1,0)</f>
        <v>0</v>
      </c>
    </row>
    <row r="1843" spans="1:11" x14ac:dyDescent="0.2">
      <c r="A1843" s="9">
        <v>1839</v>
      </c>
      <c r="B1843" s="5" t="s">
        <v>1838</v>
      </c>
      <c r="C1843" s="6">
        <v>21627</v>
      </c>
      <c r="D1843" s="6">
        <v>21589</v>
      </c>
      <c r="E1843" s="6">
        <v>21392</v>
      </c>
      <c r="F1843" s="6">
        <v>21305</v>
      </c>
      <c r="G1843" s="6">
        <v>21127</v>
      </c>
      <c r="H1843" s="6">
        <v>21066</v>
      </c>
      <c r="I1843" s="1" t="str">
        <f t="shared" si="56"/>
        <v xml:space="preserve"> Kentucky</v>
      </c>
      <c r="J1843" s="1" t="str">
        <f t="shared" si="57"/>
        <v>Ashland city</v>
      </c>
      <c r="K1843" s="1">
        <f>IF(COUNTIF($I$5:I1843,I1843)=1,1,0)</f>
        <v>0</v>
      </c>
    </row>
    <row r="1844" spans="1:11" x14ac:dyDescent="0.2">
      <c r="A1844" s="9">
        <v>1840</v>
      </c>
      <c r="B1844" s="5" t="s">
        <v>1839</v>
      </c>
      <c r="C1844" s="6">
        <v>20379</v>
      </c>
      <c r="D1844" s="6">
        <v>20419</v>
      </c>
      <c r="E1844" s="6">
        <v>20716</v>
      </c>
      <c r="F1844" s="6">
        <v>20908</v>
      </c>
      <c r="G1844" s="6">
        <v>21026</v>
      </c>
      <c r="H1844" s="6">
        <v>21064</v>
      </c>
      <c r="I1844" s="1" t="str">
        <f t="shared" si="56"/>
        <v xml:space="preserve"> Maine</v>
      </c>
      <c r="J1844" s="1" t="str">
        <f t="shared" si="57"/>
        <v>Saco city</v>
      </c>
      <c r="K1844" s="1">
        <f>IF(COUNTIF($I$5:I1844,I1844)=1,1,0)</f>
        <v>0</v>
      </c>
    </row>
    <row r="1845" spans="1:11" x14ac:dyDescent="0.2">
      <c r="A1845" s="9">
        <v>1841</v>
      </c>
      <c r="B1845" s="5" t="s">
        <v>1840</v>
      </c>
      <c r="C1845" s="6">
        <v>21187</v>
      </c>
      <c r="D1845" s="6">
        <v>21139</v>
      </c>
      <c r="E1845" s="6">
        <v>20918</v>
      </c>
      <c r="F1845" s="6">
        <v>20824</v>
      </c>
      <c r="G1845" s="6">
        <v>20862</v>
      </c>
      <c r="H1845" s="6">
        <v>21052</v>
      </c>
      <c r="I1845" s="1" t="str">
        <f t="shared" si="56"/>
        <v xml:space="preserve"> Maryland</v>
      </c>
      <c r="J1845" s="1" t="str">
        <f t="shared" si="57"/>
        <v>Hyattsville city</v>
      </c>
      <c r="K1845" s="1">
        <f>IF(COUNTIF($I$5:I1845,I1845)=1,1,0)</f>
        <v>0</v>
      </c>
    </row>
    <row r="1846" spans="1:11" x14ac:dyDescent="0.2">
      <c r="A1846" s="9">
        <v>1842</v>
      </c>
      <c r="B1846" s="5" t="s">
        <v>1841</v>
      </c>
      <c r="C1846" s="6">
        <v>18937</v>
      </c>
      <c r="D1846" s="6">
        <v>18951</v>
      </c>
      <c r="E1846" s="6">
        <v>19775</v>
      </c>
      <c r="F1846" s="6">
        <v>20602</v>
      </c>
      <c r="G1846" s="6">
        <v>20764</v>
      </c>
      <c r="H1846" s="6">
        <v>21042</v>
      </c>
      <c r="I1846" s="1" t="str">
        <f t="shared" si="56"/>
        <v xml:space="preserve"> California</v>
      </c>
      <c r="J1846" s="1" t="str">
        <f t="shared" si="57"/>
        <v>Greenfield city</v>
      </c>
      <c r="K1846" s="1">
        <f>IF(COUNTIF($I$5:I1846,I1846)=1,1,0)</f>
        <v>0</v>
      </c>
    </row>
    <row r="1847" spans="1:11" x14ac:dyDescent="0.2">
      <c r="A1847" s="9">
        <v>1843</v>
      </c>
      <c r="B1847" s="5" t="s">
        <v>1842</v>
      </c>
      <c r="C1847" s="6">
        <v>20898</v>
      </c>
      <c r="D1847" s="6">
        <v>20908</v>
      </c>
      <c r="E1847" s="6">
        <v>20907</v>
      </c>
      <c r="F1847" s="6">
        <v>20884</v>
      </c>
      <c r="G1847" s="6">
        <v>21102</v>
      </c>
      <c r="H1847" s="6">
        <v>21036</v>
      </c>
      <c r="I1847" s="1" t="str">
        <f t="shared" si="56"/>
        <v xml:space="preserve"> Missouri</v>
      </c>
      <c r="J1847" s="1" t="str">
        <f t="shared" si="57"/>
        <v>Arnold city</v>
      </c>
      <c r="K1847" s="1">
        <f>IF(COUNTIF($I$5:I1847,I1847)=1,1,0)</f>
        <v>0</v>
      </c>
    </row>
    <row r="1848" spans="1:11" x14ac:dyDescent="0.2">
      <c r="A1848" s="9">
        <v>1844</v>
      </c>
      <c r="B1848" s="5" t="s">
        <v>1843</v>
      </c>
      <c r="C1848" s="6">
        <v>20345</v>
      </c>
      <c r="D1848" s="6">
        <v>20401</v>
      </c>
      <c r="E1848" s="6">
        <v>20665</v>
      </c>
      <c r="F1848" s="6">
        <v>20778</v>
      </c>
      <c r="G1848" s="6">
        <v>20954</v>
      </c>
      <c r="H1848" s="6">
        <v>21035</v>
      </c>
      <c r="I1848" s="1" t="str">
        <f t="shared" si="56"/>
        <v xml:space="preserve"> Tennessee</v>
      </c>
      <c r="J1848" s="1" t="str">
        <f t="shared" si="57"/>
        <v>Tullahoma city</v>
      </c>
      <c r="K1848" s="1">
        <f>IF(COUNTIF($I$5:I1848,I1848)=1,1,0)</f>
        <v>0</v>
      </c>
    </row>
    <row r="1849" spans="1:11" x14ac:dyDescent="0.2">
      <c r="A1849" s="9">
        <v>1845</v>
      </c>
      <c r="B1849" s="5" t="s">
        <v>1844</v>
      </c>
      <c r="C1849" s="6">
        <v>20914</v>
      </c>
      <c r="D1849" s="6">
        <v>20913</v>
      </c>
      <c r="E1849" s="6">
        <v>20958</v>
      </c>
      <c r="F1849" s="6">
        <v>20940</v>
      </c>
      <c r="G1849" s="6">
        <v>20999</v>
      </c>
      <c r="H1849" s="6">
        <v>21032</v>
      </c>
      <c r="I1849" s="1" t="str">
        <f t="shared" si="56"/>
        <v xml:space="preserve"> Wisconsin</v>
      </c>
      <c r="J1849" s="1" t="str">
        <f t="shared" si="57"/>
        <v>Germantown village</v>
      </c>
      <c r="K1849" s="1">
        <f>IF(COUNTIF($I$5:I1849,I1849)=1,1,0)</f>
        <v>0</v>
      </c>
    </row>
    <row r="1850" spans="1:11" x14ac:dyDescent="0.2">
      <c r="A1850" s="9">
        <v>1846</v>
      </c>
      <c r="B1850" s="5" t="s">
        <v>1845</v>
      </c>
      <c r="C1850" s="6">
        <v>21699</v>
      </c>
      <c r="D1850" s="6">
        <v>21617</v>
      </c>
      <c r="E1850" s="6">
        <v>21261</v>
      </c>
      <c r="F1850" s="6">
        <v>20987</v>
      </c>
      <c r="G1850" s="6">
        <v>20912</v>
      </c>
      <c r="H1850" s="6">
        <v>21016</v>
      </c>
      <c r="I1850" s="1" t="str">
        <f t="shared" si="56"/>
        <v xml:space="preserve"> Illinois</v>
      </c>
      <c r="J1850" s="1" t="str">
        <f t="shared" si="57"/>
        <v>Park Forest village</v>
      </c>
      <c r="K1850" s="1">
        <f>IF(COUNTIF($I$5:I1850,I1850)=1,1,0)</f>
        <v>0</v>
      </c>
    </row>
    <row r="1851" spans="1:11" x14ac:dyDescent="0.2">
      <c r="A1851" s="9">
        <v>1847</v>
      </c>
      <c r="B1851" s="5" t="s">
        <v>1846</v>
      </c>
      <c r="C1851" s="6">
        <v>21557</v>
      </c>
      <c r="D1851" s="6">
        <v>21627</v>
      </c>
      <c r="E1851" s="6">
        <v>19714</v>
      </c>
      <c r="F1851" s="6">
        <v>20992</v>
      </c>
      <c r="G1851" s="6">
        <v>21110</v>
      </c>
      <c r="H1851" s="6">
        <v>20996</v>
      </c>
      <c r="I1851" s="1" t="str">
        <f t="shared" si="56"/>
        <v xml:space="preserve"> Washington</v>
      </c>
      <c r="J1851" s="1" t="str">
        <f t="shared" si="57"/>
        <v>Ellensburg city</v>
      </c>
      <c r="K1851" s="1">
        <f>IF(COUNTIF($I$5:I1851,I1851)=1,1,0)</f>
        <v>0</v>
      </c>
    </row>
    <row r="1852" spans="1:11" x14ac:dyDescent="0.2">
      <c r="A1852" s="9">
        <v>1848</v>
      </c>
      <c r="B1852" s="5" t="s">
        <v>1847</v>
      </c>
      <c r="C1852" s="6">
        <v>21361</v>
      </c>
      <c r="D1852" s="6">
        <v>21313</v>
      </c>
      <c r="E1852" s="6">
        <v>21089</v>
      </c>
      <c r="F1852" s="6">
        <v>20899</v>
      </c>
      <c r="G1852" s="6">
        <v>20896</v>
      </c>
      <c r="H1852" s="6">
        <v>20995</v>
      </c>
      <c r="I1852" s="1" t="str">
        <f t="shared" si="56"/>
        <v xml:space="preserve"> Illinois</v>
      </c>
      <c r="J1852" s="1" t="str">
        <f t="shared" si="57"/>
        <v>East Moline city</v>
      </c>
      <c r="K1852" s="1">
        <f>IF(COUNTIF($I$5:I1852,I1852)=1,1,0)</f>
        <v>0</v>
      </c>
    </row>
    <row r="1853" spans="1:11" x14ac:dyDescent="0.2">
      <c r="A1853" s="9">
        <v>1849</v>
      </c>
      <c r="B1853" s="5" t="s">
        <v>1848</v>
      </c>
      <c r="C1853" s="6">
        <v>20934</v>
      </c>
      <c r="D1853" s="6">
        <v>20912</v>
      </c>
      <c r="E1853" s="6">
        <v>21023</v>
      </c>
      <c r="F1853" s="6">
        <v>20938</v>
      </c>
      <c r="G1853" s="6">
        <v>20933</v>
      </c>
      <c r="H1853" s="6">
        <v>20993</v>
      </c>
      <c r="I1853" s="1" t="str">
        <f t="shared" si="56"/>
        <v xml:space="preserve"> Washington</v>
      </c>
      <c r="J1853" s="1" t="str">
        <f t="shared" si="57"/>
        <v>Mill Creek city</v>
      </c>
      <c r="K1853" s="1">
        <f>IF(COUNTIF($I$5:I1853,I1853)=1,1,0)</f>
        <v>0</v>
      </c>
    </row>
    <row r="1854" spans="1:11" x14ac:dyDescent="0.2">
      <c r="A1854" s="9">
        <v>1850</v>
      </c>
      <c r="B1854" s="5" t="s">
        <v>1849</v>
      </c>
      <c r="C1854" s="6">
        <v>19429</v>
      </c>
      <c r="D1854" s="6">
        <v>19434</v>
      </c>
      <c r="E1854" s="6">
        <v>19418</v>
      </c>
      <c r="F1854" s="6">
        <v>19658</v>
      </c>
      <c r="G1854" s="6">
        <v>20351</v>
      </c>
      <c r="H1854" s="6">
        <v>20979</v>
      </c>
      <c r="I1854" s="1" t="str">
        <f t="shared" si="56"/>
        <v xml:space="preserve"> Texas</v>
      </c>
      <c r="J1854" s="1" t="str">
        <f t="shared" si="57"/>
        <v>Angleton city</v>
      </c>
      <c r="K1854" s="1">
        <f>IF(COUNTIF($I$5:I1854,I1854)=1,1,0)</f>
        <v>0</v>
      </c>
    </row>
    <row r="1855" spans="1:11" x14ac:dyDescent="0.2">
      <c r="A1855" s="9">
        <v>1851</v>
      </c>
      <c r="B1855" s="5" t="s">
        <v>1850</v>
      </c>
      <c r="C1855" s="6">
        <v>20378</v>
      </c>
      <c r="D1855" s="6">
        <v>20410</v>
      </c>
      <c r="E1855" s="6">
        <v>20490</v>
      </c>
      <c r="F1855" s="6">
        <v>20635</v>
      </c>
      <c r="G1855" s="6">
        <v>20752</v>
      </c>
      <c r="H1855" s="6">
        <v>20940</v>
      </c>
      <c r="I1855" s="1" t="str">
        <f t="shared" si="56"/>
        <v xml:space="preserve"> Ohio</v>
      </c>
      <c r="J1855" s="1" t="str">
        <f t="shared" si="57"/>
        <v>Piqua city</v>
      </c>
      <c r="K1855" s="1">
        <f>IF(COUNTIF($I$5:I1855,I1855)=1,1,0)</f>
        <v>0</v>
      </c>
    </row>
    <row r="1856" spans="1:11" x14ac:dyDescent="0.2">
      <c r="A1856" s="9">
        <v>1852</v>
      </c>
      <c r="B1856" s="5" t="s">
        <v>1851</v>
      </c>
      <c r="C1856" s="6">
        <v>21394</v>
      </c>
      <c r="D1856" s="6">
        <v>21356</v>
      </c>
      <c r="E1856" s="6">
        <v>21514</v>
      </c>
      <c r="F1856" s="6">
        <v>21449</v>
      </c>
      <c r="G1856" s="6">
        <v>21020</v>
      </c>
      <c r="H1856" s="6">
        <v>20935</v>
      </c>
      <c r="I1856" s="1" t="str">
        <f t="shared" si="56"/>
        <v xml:space="preserve"> Oregon</v>
      </c>
      <c r="J1856" s="1" t="str">
        <f t="shared" si="57"/>
        <v>Ashland city</v>
      </c>
      <c r="K1856" s="1">
        <f>IF(COUNTIF($I$5:I1856,I1856)=1,1,0)</f>
        <v>0</v>
      </c>
    </row>
    <row r="1857" spans="1:11" x14ac:dyDescent="0.2">
      <c r="A1857" s="9">
        <v>1853</v>
      </c>
      <c r="B1857" s="5" t="s">
        <v>1852</v>
      </c>
      <c r="C1857" s="6">
        <v>20625</v>
      </c>
      <c r="D1857" s="6">
        <v>20593</v>
      </c>
      <c r="E1857" s="6">
        <v>20604</v>
      </c>
      <c r="F1857" s="6">
        <v>20694</v>
      </c>
      <c r="G1857" s="6">
        <v>20741</v>
      </c>
      <c r="H1857" s="6">
        <v>20924</v>
      </c>
      <c r="I1857" s="1" t="str">
        <f t="shared" si="56"/>
        <v xml:space="preserve"> New Jersey</v>
      </c>
      <c r="J1857" s="1" t="str">
        <f t="shared" si="57"/>
        <v>Pleasantville city</v>
      </c>
      <c r="K1857" s="1">
        <f>IF(COUNTIF($I$5:I1857,I1857)=1,1,0)</f>
        <v>0</v>
      </c>
    </row>
    <row r="1858" spans="1:11" x14ac:dyDescent="0.2">
      <c r="A1858" s="9">
        <v>1854</v>
      </c>
      <c r="B1858" s="5" t="s">
        <v>1853</v>
      </c>
      <c r="C1858" s="6">
        <v>18589</v>
      </c>
      <c r="D1858" s="6">
        <v>18723</v>
      </c>
      <c r="E1858" s="6">
        <v>19100</v>
      </c>
      <c r="F1858" s="6">
        <v>19642</v>
      </c>
      <c r="G1858" s="6">
        <v>20415</v>
      </c>
      <c r="H1858" s="6">
        <v>20908</v>
      </c>
      <c r="I1858" s="1" t="str">
        <f t="shared" si="56"/>
        <v xml:space="preserve"> Oklahoma</v>
      </c>
      <c r="J1858" s="1" t="str">
        <f t="shared" si="57"/>
        <v>Durant city</v>
      </c>
      <c r="K1858" s="1">
        <f>IF(COUNTIF($I$5:I1858,I1858)=1,1,0)</f>
        <v>0</v>
      </c>
    </row>
    <row r="1859" spans="1:11" x14ac:dyDescent="0.2">
      <c r="A1859" s="9">
        <v>1855</v>
      </c>
      <c r="B1859" s="5" t="s">
        <v>1854</v>
      </c>
      <c r="C1859" s="6">
        <v>20115</v>
      </c>
      <c r="D1859" s="6">
        <v>20126</v>
      </c>
      <c r="E1859" s="6">
        <v>20169</v>
      </c>
      <c r="F1859" s="6">
        <v>20303</v>
      </c>
      <c r="G1859" s="6">
        <v>20628</v>
      </c>
      <c r="H1859" s="6">
        <v>20845</v>
      </c>
      <c r="I1859" s="1" t="str">
        <f t="shared" si="56"/>
        <v xml:space="preserve"> Indiana</v>
      </c>
      <c r="J1859" s="1" t="str">
        <f t="shared" si="57"/>
        <v>Shelbyville city</v>
      </c>
      <c r="K1859" s="1">
        <f>IF(COUNTIF($I$5:I1859,I1859)=1,1,0)</f>
        <v>0</v>
      </c>
    </row>
    <row r="1860" spans="1:11" x14ac:dyDescent="0.2">
      <c r="A1860" s="9">
        <v>1856</v>
      </c>
      <c r="B1860" s="5" t="s">
        <v>1855</v>
      </c>
      <c r="C1860" s="6">
        <v>20541</v>
      </c>
      <c r="D1860" s="6">
        <v>20557</v>
      </c>
      <c r="E1860" s="6">
        <v>20625</v>
      </c>
      <c r="F1860" s="6">
        <v>20705</v>
      </c>
      <c r="G1860" s="6">
        <v>20802</v>
      </c>
      <c r="H1860" s="6">
        <v>20822</v>
      </c>
      <c r="I1860" s="1" t="str">
        <f t="shared" si="56"/>
        <v xml:space="preserve"> Nevada</v>
      </c>
      <c r="J1860" s="1" t="str">
        <f t="shared" si="57"/>
        <v>Elko city</v>
      </c>
      <c r="K1860" s="1">
        <f>IF(COUNTIF($I$5:I1860,I1860)=1,1,0)</f>
        <v>0</v>
      </c>
    </row>
    <row r="1861" spans="1:11" x14ac:dyDescent="0.2">
      <c r="A1861" s="9">
        <v>1857</v>
      </c>
      <c r="B1861" s="5" t="s">
        <v>1856</v>
      </c>
      <c r="C1861" s="6">
        <v>21244</v>
      </c>
      <c r="D1861" s="6">
        <v>21205</v>
      </c>
      <c r="E1861" s="6">
        <v>20875</v>
      </c>
      <c r="F1861" s="6">
        <v>20511</v>
      </c>
      <c r="G1861" s="6">
        <v>20534</v>
      </c>
      <c r="H1861" s="6">
        <v>20811</v>
      </c>
      <c r="I1861" s="1" t="str">
        <f t="shared" si="56"/>
        <v xml:space="preserve"> Colorado</v>
      </c>
      <c r="J1861" s="1" t="str">
        <f t="shared" si="57"/>
        <v>Louisville city</v>
      </c>
      <c r="K1861" s="1">
        <f>IF(COUNTIF($I$5:I1861,I1861)=1,1,0)</f>
        <v>0</v>
      </c>
    </row>
    <row r="1862" spans="1:11" x14ac:dyDescent="0.2">
      <c r="A1862" s="9">
        <v>1858</v>
      </c>
      <c r="B1862" s="5" t="s">
        <v>1857</v>
      </c>
      <c r="C1862" s="6">
        <v>18830</v>
      </c>
      <c r="D1862" s="6">
        <v>18924</v>
      </c>
      <c r="E1862" s="6">
        <v>19337</v>
      </c>
      <c r="F1862" s="6">
        <v>19873</v>
      </c>
      <c r="G1862" s="6">
        <v>20347</v>
      </c>
      <c r="H1862" s="6">
        <v>20798</v>
      </c>
      <c r="I1862" s="1" t="str">
        <f t="shared" ref="I1862:I1925" si="58">_xlfn.TEXTAFTER(B1862,",")</f>
        <v xml:space="preserve"> South Carolina</v>
      </c>
      <c r="J1862" s="1" t="str">
        <f t="shared" ref="J1862:J1925" si="59">_xlfn.TEXTBEFORE(B1862,", ")</f>
        <v>North Myrtle Beach city</v>
      </c>
      <c r="K1862" s="1">
        <f>IF(COUNTIF($I$5:I1862,I1862)=1,1,0)</f>
        <v>0</v>
      </c>
    </row>
    <row r="1863" spans="1:11" x14ac:dyDescent="0.2">
      <c r="A1863" s="9">
        <v>1859</v>
      </c>
      <c r="B1863" s="5" t="s">
        <v>1858</v>
      </c>
      <c r="C1863" s="6">
        <v>18211</v>
      </c>
      <c r="D1863" s="6">
        <v>18297</v>
      </c>
      <c r="E1863" s="6">
        <v>18865</v>
      </c>
      <c r="F1863" s="6">
        <v>19870</v>
      </c>
      <c r="G1863" s="6">
        <v>20324</v>
      </c>
      <c r="H1863" s="6">
        <v>20789</v>
      </c>
      <c r="I1863" s="1" t="str">
        <f t="shared" si="58"/>
        <v xml:space="preserve"> Georgia</v>
      </c>
      <c r="J1863" s="1" t="str">
        <f t="shared" si="59"/>
        <v>Kingsland city</v>
      </c>
      <c r="K1863" s="1">
        <f>IF(COUNTIF($I$5:I1863,I1863)=1,1,0)</f>
        <v>0</v>
      </c>
    </row>
    <row r="1864" spans="1:11" x14ac:dyDescent="0.2">
      <c r="A1864" s="9">
        <v>1860</v>
      </c>
      <c r="B1864" s="5" t="s">
        <v>1859</v>
      </c>
      <c r="C1864" s="6">
        <v>21470</v>
      </c>
      <c r="D1864" s="6">
        <v>21388</v>
      </c>
      <c r="E1864" s="6">
        <v>21001</v>
      </c>
      <c r="F1864" s="6">
        <v>20719</v>
      </c>
      <c r="G1864" s="6">
        <v>20650</v>
      </c>
      <c r="H1864" s="6">
        <v>20775</v>
      </c>
      <c r="I1864" s="1" t="str">
        <f t="shared" si="58"/>
        <v xml:space="preserve"> Illinois</v>
      </c>
      <c r="J1864" s="1" t="str">
        <f t="shared" si="59"/>
        <v>South Holland village</v>
      </c>
      <c r="K1864" s="1">
        <f>IF(COUNTIF($I$5:I1864,I1864)=1,1,0)</f>
        <v>0</v>
      </c>
    </row>
    <row r="1865" spans="1:11" x14ac:dyDescent="0.2">
      <c r="A1865" s="9">
        <v>1861</v>
      </c>
      <c r="B1865" s="5" t="s">
        <v>1860</v>
      </c>
      <c r="C1865" s="6">
        <v>21981</v>
      </c>
      <c r="D1865" s="6">
        <v>21906</v>
      </c>
      <c r="E1865" s="6">
        <v>21460</v>
      </c>
      <c r="F1865" s="6">
        <v>21073</v>
      </c>
      <c r="G1865" s="6">
        <v>20778</v>
      </c>
      <c r="H1865" s="6">
        <v>20745</v>
      </c>
      <c r="I1865" s="1" t="str">
        <f t="shared" si="58"/>
        <v xml:space="preserve"> Minnesota</v>
      </c>
      <c r="J1865" s="1" t="str">
        <f t="shared" si="59"/>
        <v>New Hope city</v>
      </c>
      <c r="K1865" s="1">
        <f>IF(COUNTIF($I$5:I1865,I1865)=1,1,0)</f>
        <v>0</v>
      </c>
    </row>
    <row r="1866" spans="1:11" x14ac:dyDescent="0.2">
      <c r="A1866" s="9">
        <v>1862</v>
      </c>
      <c r="B1866" s="5" t="s">
        <v>1861</v>
      </c>
      <c r="C1866" s="6">
        <v>20172</v>
      </c>
      <c r="D1866" s="6">
        <v>20121</v>
      </c>
      <c r="E1866" s="6">
        <v>20278</v>
      </c>
      <c r="F1866" s="6">
        <v>20411</v>
      </c>
      <c r="G1866" s="6">
        <v>20697</v>
      </c>
      <c r="H1866" s="6">
        <v>20732</v>
      </c>
      <c r="I1866" s="1" t="str">
        <f t="shared" si="58"/>
        <v xml:space="preserve"> New Jersey</v>
      </c>
      <c r="J1866" s="1" t="str">
        <f t="shared" si="59"/>
        <v>Morristown town</v>
      </c>
      <c r="K1866" s="1">
        <f>IF(COUNTIF($I$5:I1866,I1866)=1,1,0)</f>
        <v>0</v>
      </c>
    </row>
    <row r="1867" spans="1:11" x14ac:dyDescent="0.2">
      <c r="A1867" s="9">
        <v>1863</v>
      </c>
      <c r="B1867" s="5" t="s">
        <v>1862</v>
      </c>
      <c r="C1867" s="6">
        <v>20989</v>
      </c>
      <c r="D1867" s="6">
        <v>20960</v>
      </c>
      <c r="E1867" s="6">
        <v>20884</v>
      </c>
      <c r="F1867" s="6">
        <v>20728</v>
      </c>
      <c r="G1867" s="6">
        <v>20762</v>
      </c>
      <c r="H1867" s="6">
        <v>20729</v>
      </c>
      <c r="I1867" s="1" t="str">
        <f t="shared" si="58"/>
        <v xml:space="preserve"> Pennsylvania</v>
      </c>
      <c r="J1867" s="1" t="str">
        <f t="shared" si="59"/>
        <v>Murrysville municipality</v>
      </c>
      <c r="K1867" s="1">
        <f>IF(COUNTIF($I$5:I1867,I1867)=1,1,0)</f>
        <v>0</v>
      </c>
    </row>
    <row r="1868" spans="1:11" x14ac:dyDescent="0.2">
      <c r="A1868" s="9">
        <v>1864</v>
      </c>
      <c r="B1868" s="5" t="s">
        <v>1863</v>
      </c>
      <c r="C1868" s="6">
        <v>20431</v>
      </c>
      <c r="D1868" s="6">
        <v>20408</v>
      </c>
      <c r="E1868" s="6">
        <v>20608</v>
      </c>
      <c r="F1868" s="6">
        <v>20412</v>
      </c>
      <c r="G1868" s="6">
        <v>20497</v>
      </c>
      <c r="H1868" s="6">
        <v>20725</v>
      </c>
      <c r="I1868" s="1" t="str">
        <f t="shared" si="58"/>
        <v xml:space="preserve"> Texas</v>
      </c>
      <c r="J1868" s="1" t="str">
        <f t="shared" si="59"/>
        <v>Portland city</v>
      </c>
      <c r="K1868" s="1">
        <f>IF(COUNTIF($I$5:I1868,I1868)=1,1,0)</f>
        <v>0</v>
      </c>
    </row>
    <row r="1869" spans="1:11" x14ac:dyDescent="0.2">
      <c r="A1869" s="9">
        <v>1865</v>
      </c>
      <c r="B1869" s="5" t="s">
        <v>1864</v>
      </c>
      <c r="C1869" s="6">
        <v>21520</v>
      </c>
      <c r="D1869" s="6">
        <v>21487</v>
      </c>
      <c r="E1869" s="6">
        <v>21261</v>
      </c>
      <c r="F1869" s="6">
        <v>20981</v>
      </c>
      <c r="G1869" s="6">
        <v>20812</v>
      </c>
      <c r="H1869" s="6">
        <v>20712</v>
      </c>
      <c r="I1869" s="1" t="str">
        <f t="shared" si="58"/>
        <v xml:space="preserve"> Pennsylvania</v>
      </c>
      <c r="J1869" s="1" t="str">
        <f t="shared" si="59"/>
        <v>Baldwin borough</v>
      </c>
      <c r="K1869" s="1">
        <f>IF(COUNTIF($I$5:I1869,I1869)=1,1,0)</f>
        <v>0</v>
      </c>
    </row>
    <row r="1870" spans="1:11" x14ac:dyDescent="0.2">
      <c r="A1870" s="9">
        <v>1866</v>
      </c>
      <c r="B1870" s="5" t="s">
        <v>1865</v>
      </c>
      <c r="C1870" s="6">
        <v>20612</v>
      </c>
      <c r="D1870" s="6">
        <v>20702</v>
      </c>
      <c r="E1870" s="6">
        <v>20646</v>
      </c>
      <c r="F1870" s="6">
        <v>20897</v>
      </c>
      <c r="G1870" s="6">
        <v>20723</v>
      </c>
      <c r="H1870" s="6">
        <v>20700</v>
      </c>
      <c r="I1870" s="1" t="str">
        <f t="shared" si="58"/>
        <v xml:space="preserve"> Minnesota</v>
      </c>
      <c r="J1870" s="1" t="str">
        <f t="shared" si="59"/>
        <v>Forest Lake city</v>
      </c>
      <c r="K1870" s="1">
        <f>IF(COUNTIF($I$5:I1870,I1870)=1,1,0)</f>
        <v>0</v>
      </c>
    </row>
    <row r="1871" spans="1:11" x14ac:dyDescent="0.2">
      <c r="A1871" s="9">
        <v>1867</v>
      </c>
      <c r="B1871" s="5" t="s">
        <v>1866</v>
      </c>
      <c r="C1871" s="6">
        <v>21418</v>
      </c>
      <c r="D1871" s="6">
        <v>21335</v>
      </c>
      <c r="E1871" s="6">
        <v>20937</v>
      </c>
      <c r="F1871" s="6">
        <v>20656</v>
      </c>
      <c r="G1871" s="6">
        <v>20577</v>
      </c>
      <c r="H1871" s="6">
        <v>20697</v>
      </c>
      <c r="I1871" s="1" t="str">
        <f t="shared" si="58"/>
        <v xml:space="preserve"> Illinois</v>
      </c>
      <c r="J1871" s="1" t="str">
        <f t="shared" si="59"/>
        <v>Dolton village</v>
      </c>
      <c r="K1871" s="1">
        <f>IF(COUNTIF($I$5:I1871,I1871)=1,1,0)</f>
        <v>0</v>
      </c>
    </row>
    <row r="1872" spans="1:11" x14ac:dyDescent="0.2">
      <c r="A1872" s="9">
        <v>1868</v>
      </c>
      <c r="B1872" s="5" t="s">
        <v>1867</v>
      </c>
      <c r="C1872" s="6">
        <v>19516</v>
      </c>
      <c r="D1872" s="6">
        <v>19666</v>
      </c>
      <c r="E1872" s="6">
        <v>20003</v>
      </c>
      <c r="F1872" s="6">
        <v>20349</v>
      </c>
      <c r="G1872" s="6">
        <v>20580</v>
      </c>
      <c r="H1872" s="6">
        <v>20694</v>
      </c>
      <c r="I1872" s="1" t="str">
        <f t="shared" si="58"/>
        <v xml:space="preserve"> Texas</v>
      </c>
      <c r="J1872" s="1" t="str">
        <f t="shared" si="59"/>
        <v>Alamo city</v>
      </c>
      <c r="K1872" s="1">
        <f>IF(COUNTIF($I$5:I1872,I1872)=1,1,0)</f>
        <v>0</v>
      </c>
    </row>
    <row r="1873" spans="1:11" x14ac:dyDescent="0.2">
      <c r="A1873" s="9">
        <v>1869</v>
      </c>
      <c r="B1873" s="5" t="s">
        <v>1868</v>
      </c>
      <c r="C1873" s="6">
        <v>20424</v>
      </c>
      <c r="D1873" s="6">
        <v>20355</v>
      </c>
      <c r="E1873" s="6">
        <v>20304</v>
      </c>
      <c r="F1873" s="6">
        <v>20164</v>
      </c>
      <c r="G1873" s="6">
        <v>20130</v>
      </c>
      <c r="H1873" s="6">
        <v>20684</v>
      </c>
      <c r="I1873" s="1" t="str">
        <f t="shared" si="58"/>
        <v xml:space="preserve"> New York</v>
      </c>
      <c r="J1873" s="1" t="str">
        <f t="shared" si="59"/>
        <v>Lynbrook village</v>
      </c>
      <c r="K1873" s="1">
        <f>IF(COUNTIF($I$5:I1873,I1873)=1,1,0)</f>
        <v>0</v>
      </c>
    </row>
    <row r="1874" spans="1:11" x14ac:dyDescent="0.2">
      <c r="A1874" s="9">
        <v>1870</v>
      </c>
      <c r="B1874" s="5" t="s">
        <v>1869</v>
      </c>
      <c r="C1874" s="6">
        <v>20137</v>
      </c>
      <c r="D1874" s="6">
        <v>20130</v>
      </c>
      <c r="E1874" s="6">
        <v>20332</v>
      </c>
      <c r="F1874" s="6">
        <v>20456</v>
      </c>
      <c r="G1874" s="6">
        <v>20627</v>
      </c>
      <c r="H1874" s="6">
        <v>20662</v>
      </c>
      <c r="I1874" s="1" t="str">
        <f t="shared" si="58"/>
        <v xml:space="preserve"> Maryland</v>
      </c>
      <c r="J1874" s="1" t="str">
        <f t="shared" si="59"/>
        <v>Westminster city</v>
      </c>
      <c r="K1874" s="1">
        <f>IF(COUNTIF($I$5:I1874,I1874)=1,1,0)</f>
        <v>0</v>
      </c>
    </row>
    <row r="1875" spans="1:11" x14ac:dyDescent="0.2">
      <c r="A1875" s="9">
        <v>1871</v>
      </c>
      <c r="B1875" s="5" t="s">
        <v>1870</v>
      </c>
      <c r="C1875" s="6">
        <v>19929</v>
      </c>
      <c r="D1875" s="6">
        <v>19921</v>
      </c>
      <c r="E1875" s="6">
        <v>20095</v>
      </c>
      <c r="F1875" s="6">
        <v>20308</v>
      </c>
      <c r="G1875" s="6">
        <v>20506</v>
      </c>
      <c r="H1875" s="6">
        <v>20660</v>
      </c>
      <c r="I1875" s="1" t="str">
        <f t="shared" si="58"/>
        <v xml:space="preserve"> Missouri</v>
      </c>
      <c r="J1875" s="1" t="str">
        <f t="shared" si="59"/>
        <v>Rolla city</v>
      </c>
      <c r="K1875" s="1">
        <f>IF(COUNTIF($I$5:I1875,I1875)=1,1,0)</f>
        <v>0</v>
      </c>
    </row>
    <row r="1876" spans="1:11" x14ac:dyDescent="0.2">
      <c r="A1876" s="9">
        <v>1871</v>
      </c>
      <c r="B1876" s="5" t="s">
        <v>1871</v>
      </c>
      <c r="C1876" s="6">
        <v>20298</v>
      </c>
      <c r="D1876" s="6">
        <v>20290</v>
      </c>
      <c r="E1876" s="6">
        <v>20551</v>
      </c>
      <c r="F1876" s="6">
        <v>20639</v>
      </c>
      <c r="G1876" s="6">
        <v>20634</v>
      </c>
      <c r="H1876" s="6">
        <v>20660</v>
      </c>
      <c r="I1876" s="1" t="str">
        <f t="shared" si="58"/>
        <v xml:space="preserve"> Ohio</v>
      </c>
      <c r="J1876" s="1" t="str">
        <f t="shared" si="59"/>
        <v>Painesville city</v>
      </c>
      <c r="K1876" s="1">
        <f>IF(COUNTIF($I$5:I1876,I1876)=1,1,0)</f>
        <v>0</v>
      </c>
    </row>
    <row r="1877" spans="1:11" x14ac:dyDescent="0.2">
      <c r="A1877" s="9">
        <v>1873</v>
      </c>
      <c r="B1877" s="5" t="s">
        <v>1872</v>
      </c>
      <c r="C1877" s="6">
        <v>15602</v>
      </c>
      <c r="D1877" s="6">
        <v>15742</v>
      </c>
      <c r="E1877" s="6">
        <v>17366</v>
      </c>
      <c r="F1877" s="6">
        <v>18629</v>
      </c>
      <c r="G1877" s="6">
        <v>20141</v>
      </c>
      <c r="H1877" s="6">
        <v>20659</v>
      </c>
      <c r="I1877" s="1" t="str">
        <f t="shared" si="58"/>
        <v xml:space="preserve"> Florida</v>
      </c>
      <c r="J1877" s="1" t="str">
        <f t="shared" si="59"/>
        <v>Auburndale city</v>
      </c>
      <c r="K1877" s="1">
        <f>IF(COUNTIF($I$5:I1877,I1877)=1,1,0)</f>
        <v>0</v>
      </c>
    </row>
    <row r="1878" spans="1:11" x14ac:dyDescent="0.2">
      <c r="A1878" s="9">
        <v>1874</v>
      </c>
      <c r="B1878" s="5" t="s">
        <v>1873</v>
      </c>
      <c r="C1878" s="6">
        <v>17734</v>
      </c>
      <c r="D1878" s="6">
        <v>18238</v>
      </c>
      <c r="E1878" s="6">
        <v>18798</v>
      </c>
      <c r="F1878" s="6">
        <v>19709</v>
      </c>
      <c r="G1878" s="6">
        <v>20295</v>
      </c>
      <c r="H1878" s="6">
        <v>20654</v>
      </c>
      <c r="I1878" s="1" t="str">
        <f t="shared" si="58"/>
        <v xml:space="preserve"> North Carolina</v>
      </c>
      <c r="J1878" s="1" t="str">
        <f t="shared" si="59"/>
        <v>Mebane city</v>
      </c>
      <c r="K1878" s="1">
        <f>IF(COUNTIF($I$5:I1878,I1878)=1,1,0)</f>
        <v>0</v>
      </c>
    </row>
    <row r="1879" spans="1:11" x14ac:dyDescent="0.2">
      <c r="A1879" s="9">
        <v>1875</v>
      </c>
      <c r="B1879" s="5" t="s">
        <v>1874</v>
      </c>
      <c r="C1879" s="6">
        <v>20581</v>
      </c>
      <c r="D1879" s="6">
        <v>20563</v>
      </c>
      <c r="E1879" s="6">
        <v>20533</v>
      </c>
      <c r="F1879" s="6">
        <v>20485</v>
      </c>
      <c r="G1879" s="6">
        <v>20494</v>
      </c>
      <c r="H1879" s="6">
        <v>20643</v>
      </c>
      <c r="I1879" s="1" t="str">
        <f t="shared" si="58"/>
        <v xml:space="preserve"> Illinois</v>
      </c>
      <c r="J1879" s="1" t="str">
        <f t="shared" si="59"/>
        <v>Libertyville village</v>
      </c>
      <c r="K1879" s="1">
        <f>IF(COUNTIF($I$5:I1879,I1879)=1,1,0)</f>
        <v>0</v>
      </c>
    </row>
    <row r="1880" spans="1:11" x14ac:dyDescent="0.2">
      <c r="A1880" s="9">
        <v>1876</v>
      </c>
      <c r="B1880" s="5" t="s">
        <v>1875</v>
      </c>
      <c r="C1880" s="6">
        <v>17327</v>
      </c>
      <c r="D1880" s="6">
        <v>17367</v>
      </c>
      <c r="E1880" s="6">
        <v>18213</v>
      </c>
      <c r="F1880" s="6">
        <v>18618</v>
      </c>
      <c r="G1880" s="6">
        <v>19514</v>
      </c>
      <c r="H1880" s="6">
        <v>20639</v>
      </c>
      <c r="I1880" s="1" t="str">
        <f t="shared" si="58"/>
        <v xml:space="preserve"> Colorado</v>
      </c>
      <c r="J1880" s="1" t="str">
        <f t="shared" si="59"/>
        <v>Johnstown town</v>
      </c>
      <c r="K1880" s="1">
        <f>IF(COUNTIF($I$5:I1880,I1880)=1,1,0)</f>
        <v>0</v>
      </c>
    </row>
    <row r="1881" spans="1:11" x14ac:dyDescent="0.2">
      <c r="A1881" s="9">
        <v>1877</v>
      </c>
      <c r="B1881" s="5" t="s">
        <v>1876</v>
      </c>
      <c r="C1881" s="6">
        <v>18342</v>
      </c>
      <c r="D1881" s="6">
        <v>18405</v>
      </c>
      <c r="E1881" s="6">
        <v>18987</v>
      </c>
      <c r="F1881" s="6">
        <v>19425</v>
      </c>
      <c r="G1881" s="6">
        <v>19756</v>
      </c>
      <c r="H1881" s="6">
        <v>20628</v>
      </c>
      <c r="I1881" s="1" t="str">
        <f t="shared" si="58"/>
        <v xml:space="preserve"> Georgia</v>
      </c>
      <c r="J1881" s="1" t="str">
        <f t="shared" si="59"/>
        <v>Winder city</v>
      </c>
      <c r="K1881" s="1">
        <f>IF(COUNTIF($I$5:I1881,I1881)=1,1,0)</f>
        <v>0</v>
      </c>
    </row>
    <row r="1882" spans="1:11" x14ac:dyDescent="0.2">
      <c r="A1882" s="9">
        <v>1878</v>
      </c>
      <c r="B1882" s="5" t="s">
        <v>1877</v>
      </c>
      <c r="C1882" s="6">
        <v>19584</v>
      </c>
      <c r="D1882" s="6">
        <v>19631</v>
      </c>
      <c r="E1882" s="6">
        <v>19894</v>
      </c>
      <c r="F1882" s="6">
        <v>20237</v>
      </c>
      <c r="G1882" s="6">
        <v>20394</v>
      </c>
      <c r="H1882" s="6">
        <v>20602</v>
      </c>
      <c r="I1882" s="1" t="str">
        <f t="shared" si="58"/>
        <v xml:space="preserve"> Oklahoma</v>
      </c>
      <c r="J1882" s="1" t="str">
        <f t="shared" si="59"/>
        <v>Claremore city</v>
      </c>
      <c r="K1882" s="1">
        <f>IF(COUNTIF($I$5:I1882,I1882)=1,1,0)</f>
        <v>0</v>
      </c>
    </row>
    <row r="1883" spans="1:11" x14ac:dyDescent="0.2">
      <c r="A1883" s="9">
        <v>1879</v>
      </c>
      <c r="B1883" s="5" t="s">
        <v>1878</v>
      </c>
      <c r="C1883" s="6">
        <v>20757</v>
      </c>
      <c r="D1883" s="6">
        <v>20714</v>
      </c>
      <c r="E1883" s="6">
        <v>20550</v>
      </c>
      <c r="F1883" s="6">
        <v>20539</v>
      </c>
      <c r="G1883" s="6">
        <v>20717</v>
      </c>
      <c r="H1883" s="6">
        <v>20590</v>
      </c>
      <c r="I1883" s="1" t="str">
        <f t="shared" si="58"/>
        <v xml:space="preserve"> Minnesota</v>
      </c>
      <c r="J1883" s="1" t="str">
        <f t="shared" si="59"/>
        <v>South St. Paul city</v>
      </c>
      <c r="K1883" s="1">
        <f>IF(COUNTIF($I$5:I1883,I1883)=1,1,0)</f>
        <v>0</v>
      </c>
    </row>
    <row r="1884" spans="1:11" x14ac:dyDescent="0.2">
      <c r="A1884" s="9">
        <v>1880</v>
      </c>
      <c r="B1884" s="5" t="s">
        <v>1879</v>
      </c>
      <c r="C1884" s="6">
        <v>21826</v>
      </c>
      <c r="D1884" s="6">
        <v>21819</v>
      </c>
      <c r="E1884" s="6">
        <v>20663</v>
      </c>
      <c r="F1884" s="6">
        <v>20367</v>
      </c>
      <c r="G1884" s="6">
        <v>20476</v>
      </c>
      <c r="H1884" s="6">
        <v>20572</v>
      </c>
      <c r="I1884" s="1" t="str">
        <f t="shared" si="58"/>
        <v xml:space="preserve"> Louisiana</v>
      </c>
      <c r="J1884" s="1" t="str">
        <f t="shared" si="59"/>
        <v>Sulphur city</v>
      </c>
      <c r="K1884" s="1">
        <f>IF(COUNTIF($I$5:I1884,I1884)=1,1,0)</f>
        <v>0</v>
      </c>
    </row>
    <row r="1885" spans="1:11" x14ac:dyDescent="0.2">
      <c r="A1885" s="9">
        <v>1881</v>
      </c>
      <c r="B1885" s="5" t="s">
        <v>1880</v>
      </c>
      <c r="C1885" s="6">
        <v>20655</v>
      </c>
      <c r="D1885" s="6">
        <v>20635</v>
      </c>
      <c r="E1885" s="6">
        <v>20622</v>
      </c>
      <c r="F1885" s="6">
        <v>20728</v>
      </c>
      <c r="G1885" s="6">
        <v>20627</v>
      </c>
      <c r="H1885" s="6">
        <v>20547</v>
      </c>
      <c r="I1885" s="1" t="str">
        <f t="shared" si="58"/>
        <v xml:space="preserve"> Kansas</v>
      </c>
      <c r="J1885" s="1" t="str">
        <f t="shared" si="59"/>
        <v>Pittsburg city</v>
      </c>
      <c r="K1885" s="1">
        <f>IF(COUNTIF($I$5:I1885,I1885)=1,1,0)</f>
        <v>0</v>
      </c>
    </row>
    <row r="1886" spans="1:11" x14ac:dyDescent="0.2">
      <c r="A1886" s="9">
        <v>1882</v>
      </c>
      <c r="B1886" s="5" t="s">
        <v>1881</v>
      </c>
      <c r="C1886" s="6">
        <v>20850</v>
      </c>
      <c r="D1886" s="6">
        <v>20809</v>
      </c>
      <c r="E1886" s="6">
        <v>20597</v>
      </c>
      <c r="F1886" s="6">
        <v>20431</v>
      </c>
      <c r="G1886" s="6">
        <v>20527</v>
      </c>
      <c r="H1886" s="6">
        <v>20524</v>
      </c>
      <c r="I1886" s="1" t="str">
        <f t="shared" si="58"/>
        <v xml:space="preserve"> Ohio</v>
      </c>
      <c r="J1886" s="1" t="str">
        <f t="shared" si="59"/>
        <v>Parma Heights city</v>
      </c>
      <c r="K1886" s="1">
        <f>IF(COUNTIF($I$5:I1886,I1886)=1,1,0)</f>
        <v>0</v>
      </c>
    </row>
    <row r="1887" spans="1:11" x14ac:dyDescent="0.2">
      <c r="A1887" s="9">
        <v>1883</v>
      </c>
      <c r="B1887" s="5" t="s">
        <v>1882</v>
      </c>
      <c r="C1887" s="6">
        <v>20288</v>
      </c>
      <c r="D1887" s="6">
        <v>20286</v>
      </c>
      <c r="E1887" s="6">
        <v>20175</v>
      </c>
      <c r="F1887" s="6">
        <v>20165</v>
      </c>
      <c r="G1887" s="6">
        <v>20288</v>
      </c>
      <c r="H1887" s="6">
        <v>20520</v>
      </c>
      <c r="I1887" s="1" t="str">
        <f t="shared" si="58"/>
        <v xml:space="preserve"> New Jersey</v>
      </c>
      <c r="J1887" s="1" t="str">
        <f t="shared" si="59"/>
        <v>Palisades Park borough</v>
      </c>
      <c r="K1887" s="1">
        <f>IF(COUNTIF($I$5:I1887,I1887)=1,1,0)</f>
        <v>0</v>
      </c>
    </row>
    <row r="1888" spans="1:11" x14ac:dyDescent="0.2">
      <c r="A1888" s="9">
        <v>1884</v>
      </c>
      <c r="B1888" s="5" t="s">
        <v>1883</v>
      </c>
      <c r="C1888" s="6">
        <v>18058</v>
      </c>
      <c r="D1888" s="6">
        <v>18349</v>
      </c>
      <c r="E1888" s="6">
        <v>19316</v>
      </c>
      <c r="F1888" s="6">
        <v>19521</v>
      </c>
      <c r="G1888" s="6">
        <v>20056</v>
      </c>
      <c r="H1888" s="6">
        <v>20483</v>
      </c>
      <c r="I1888" s="1" t="str">
        <f t="shared" si="58"/>
        <v xml:space="preserve"> Texas</v>
      </c>
      <c r="J1888" s="1" t="str">
        <f t="shared" si="59"/>
        <v>Crowley city</v>
      </c>
      <c r="K1888" s="1">
        <f>IF(COUNTIF($I$5:I1888,I1888)=1,1,0)</f>
        <v>0</v>
      </c>
    </row>
    <row r="1889" spans="1:11" x14ac:dyDescent="0.2">
      <c r="A1889" s="9">
        <v>1885</v>
      </c>
      <c r="B1889" s="5" t="s">
        <v>1884</v>
      </c>
      <c r="C1889" s="6">
        <v>20458</v>
      </c>
      <c r="D1889" s="6">
        <v>20452</v>
      </c>
      <c r="E1889" s="6">
        <v>20365</v>
      </c>
      <c r="F1889" s="6">
        <v>20088</v>
      </c>
      <c r="G1889" s="6">
        <v>20250</v>
      </c>
      <c r="H1889" s="6">
        <v>20441</v>
      </c>
      <c r="I1889" s="1" t="str">
        <f t="shared" si="58"/>
        <v xml:space="preserve"> Oregon</v>
      </c>
      <c r="J1889" s="1" t="str">
        <f t="shared" si="59"/>
        <v>Sherwood city</v>
      </c>
      <c r="K1889" s="1">
        <f>IF(COUNTIF($I$5:I1889,I1889)=1,1,0)</f>
        <v>0</v>
      </c>
    </row>
    <row r="1890" spans="1:11" x14ac:dyDescent="0.2">
      <c r="A1890" s="9">
        <v>1886</v>
      </c>
      <c r="B1890" s="5" t="s">
        <v>1885</v>
      </c>
      <c r="C1890" s="6">
        <v>20822</v>
      </c>
      <c r="D1890" s="6">
        <v>20820</v>
      </c>
      <c r="E1890" s="6">
        <v>20635</v>
      </c>
      <c r="F1890" s="6">
        <v>20516</v>
      </c>
      <c r="G1890" s="6">
        <v>20425</v>
      </c>
      <c r="H1890" s="6">
        <v>20421</v>
      </c>
      <c r="I1890" s="1" t="str">
        <f t="shared" si="58"/>
        <v xml:space="preserve"> Oklahoma</v>
      </c>
      <c r="J1890" s="1" t="str">
        <f t="shared" si="59"/>
        <v>Bethany city</v>
      </c>
      <c r="K1890" s="1">
        <f>IF(COUNTIF($I$5:I1890,I1890)=1,1,0)</f>
        <v>0</v>
      </c>
    </row>
    <row r="1891" spans="1:11" x14ac:dyDescent="0.2">
      <c r="A1891" s="9">
        <v>1887</v>
      </c>
      <c r="B1891" s="5" t="s">
        <v>1886</v>
      </c>
      <c r="C1891" s="6">
        <v>18942</v>
      </c>
      <c r="D1891" s="6">
        <v>19015</v>
      </c>
      <c r="E1891" s="6">
        <v>19346</v>
      </c>
      <c r="F1891" s="6">
        <v>19695</v>
      </c>
      <c r="G1891" s="6">
        <v>20137</v>
      </c>
      <c r="H1891" s="6">
        <v>20419</v>
      </c>
      <c r="I1891" s="1" t="str">
        <f t="shared" si="58"/>
        <v xml:space="preserve"> Georgia</v>
      </c>
      <c r="J1891" s="1" t="str">
        <f t="shared" si="59"/>
        <v>Fayetteville city</v>
      </c>
      <c r="K1891" s="1">
        <f>IF(COUNTIF($I$5:I1891,I1891)=1,1,0)</f>
        <v>0</v>
      </c>
    </row>
    <row r="1892" spans="1:11" x14ac:dyDescent="0.2">
      <c r="A1892" s="9">
        <v>1888</v>
      </c>
      <c r="B1892" s="5" t="s">
        <v>1887</v>
      </c>
      <c r="C1892" s="6">
        <v>19600</v>
      </c>
      <c r="D1892" s="6">
        <v>19658</v>
      </c>
      <c r="E1892" s="6">
        <v>20111</v>
      </c>
      <c r="F1892" s="6">
        <v>20789</v>
      </c>
      <c r="G1892" s="6">
        <v>20441</v>
      </c>
      <c r="H1892" s="6">
        <v>20416</v>
      </c>
      <c r="I1892" s="1" t="str">
        <f t="shared" si="58"/>
        <v xml:space="preserve"> Florida</v>
      </c>
      <c r="J1892" s="1" t="str">
        <f t="shared" si="59"/>
        <v>Punta Gorda city</v>
      </c>
      <c r="K1892" s="1">
        <f>IF(COUNTIF($I$5:I1892,I1892)=1,1,0)</f>
        <v>0</v>
      </c>
    </row>
    <row r="1893" spans="1:11" x14ac:dyDescent="0.2">
      <c r="A1893" s="9">
        <v>1889</v>
      </c>
      <c r="B1893" s="5" t="s">
        <v>1888</v>
      </c>
      <c r="C1893" s="6">
        <v>20876</v>
      </c>
      <c r="D1893" s="6">
        <v>20829</v>
      </c>
      <c r="E1893" s="6">
        <v>20739</v>
      </c>
      <c r="F1893" s="6">
        <v>20565</v>
      </c>
      <c r="G1893" s="6">
        <v>20458</v>
      </c>
      <c r="H1893" s="6">
        <v>20394</v>
      </c>
      <c r="I1893" s="1" t="str">
        <f t="shared" si="58"/>
        <v xml:space="preserve"> New York</v>
      </c>
      <c r="J1893" s="1" t="str">
        <f t="shared" si="59"/>
        <v>Lockport city</v>
      </c>
      <c r="K1893" s="1">
        <f>IF(COUNTIF($I$5:I1893,I1893)=1,1,0)</f>
        <v>0</v>
      </c>
    </row>
    <row r="1894" spans="1:11" x14ac:dyDescent="0.2">
      <c r="A1894" s="9">
        <v>1890</v>
      </c>
      <c r="B1894" s="5" t="s">
        <v>1889</v>
      </c>
      <c r="C1894" s="6">
        <v>20592</v>
      </c>
      <c r="D1894" s="6">
        <v>20550</v>
      </c>
      <c r="E1894" s="6">
        <v>20446</v>
      </c>
      <c r="F1894" s="6">
        <v>20309</v>
      </c>
      <c r="G1894" s="6">
        <v>20320</v>
      </c>
      <c r="H1894" s="6">
        <v>20392</v>
      </c>
      <c r="I1894" s="1" t="str">
        <f t="shared" si="58"/>
        <v xml:space="preserve"> Ohio</v>
      </c>
      <c r="J1894" s="1" t="str">
        <f t="shared" si="59"/>
        <v>Sidney city</v>
      </c>
      <c r="K1894" s="1">
        <f>IF(COUNTIF($I$5:I1894,I1894)=1,1,0)</f>
        <v>0</v>
      </c>
    </row>
    <row r="1895" spans="1:11" x14ac:dyDescent="0.2">
      <c r="A1895" s="9">
        <v>1891</v>
      </c>
      <c r="B1895" s="5" t="s">
        <v>1890</v>
      </c>
      <c r="C1895" s="6">
        <v>19423</v>
      </c>
      <c r="D1895" s="6">
        <v>19486</v>
      </c>
      <c r="E1895" s="6">
        <v>19830</v>
      </c>
      <c r="F1895" s="6">
        <v>19963</v>
      </c>
      <c r="G1895" s="6">
        <v>20114</v>
      </c>
      <c r="H1895" s="6">
        <v>20370</v>
      </c>
      <c r="I1895" s="1" t="str">
        <f t="shared" si="58"/>
        <v xml:space="preserve"> Louisiana</v>
      </c>
      <c r="J1895" s="1" t="str">
        <f t="shared" si="59"/>
        <v>Zachary city</v>
      </c>
      <c r="K1895" s="1">
        <f>IF(COUNTIF($I$5:I1895,I1895)=1,1,0)</f>
        <v>0</v>
      </c>
    </row>
    <row r="1896" spans="1:11" x14ac:dyDescent="0.2">
      <c r="A1896" s="9">
        <v>1892</v>
      </c>
      <c r="B1896" s="5" t="s">
        <v>1891</v>
      </c>
      <c r="C1896" s="6">
        <v>21902</v>
      </c>
      <c r="D1896" s="6">
        <v>21801</v>
      </c>
      <c r="E1896" s="6">
        <v>21441</v>
      </c>
      <c r="F1896" s="6">
        <v>20994</v>
      </c>
      <c r="G1896" s="6">
        <v>20528</v>
      </c>
      <c r="H1896" s="6">
        <v>20339</v>
      </c>
      <c r="I1896" s="1" t="str">
        <f t="shared" si="58"/>
        <v xml:space="preserve"> New Mexico</v>
      </c>
      <c r="J1896" s="1" t="str">
        <f t="shared" si="59"/>
        <v>Gallup city</v>
      </c>
      <c r="K1896" s="1">
        <f>IF(COUNTIF($I$5:I1896,I1896)=1,1,0)</f>
        <v>0</v>
      </c>
    </row>
    <row r="1897" spans="1:11" x14ac:dyDescent="0.2">
      <c r="A1897" s="9">
        <v>1893</v>
      </c>
      <c r="B1897" s="5" t="s">
        <v>1892</v>
      </c>
      <c r="C1897" s="6">
        <v>18985</v>
      </c>
      <c r="D1897" s="6">
        <v>18913</v>
      </c>
      <c r="E1897" s="6">
        <v>19313</v>
      </c>
      <c r="F1897" s="6">
        <v>19625</v>
      </c>
      <c r="G1897" s="6">
        <v>19962</v>
      </c>
      <c r="H1897" s="6">
        <v>20335</v>
      </c>
      <c r="I1897" s="1" t="str">
        <f t="shared" si="58"/>
        <v xml:space="preserve"> North Carolina</v>
      </c>
      <c r="J1897" s="1" t="str">
        <f t="shared" si="59"/>
        <v>Harrisburg town</v>
      </c>
      <c r="K1897" s="1">
        <f>IF(COUNTIF($I$5:I1897,I1897)=1,1,0)</f>
        <v>0</v>
      </c>
    </row>
    <row r="1898" spans="1:11" x14ac:dyDescent="0.2">
      <c r="A1898" s="9">
        <v>1894</v>
      </c>
      <c r="B1898" s="5" t="s">
        <v>1893</v>
      </c>
      <c r="C1898" s="6">
        <v>19917</v>
      </c>
      <c r="D1898" s="6">
        <v>19947</v>
      </c>
      <c r="E1898" s="6">
        <v>20001</v>
      </c>
      <c r="F1898" s="6">
        <v>20133</v>
      </c>
      <c r="G1898" s="6">
        <v>20224</v>
      </c>
      <c r="H1898" s="6">
        <v>20330</v>
      </c>
      <c r="I1898" s="1" t="str">
        <f t="shared" si="58"/>
        <v xml:space="preserve"> Oklahoma</v>
      </c>
      <c r="J1898" s="1" t="str">
        <f t="shared" si="59"/>
        <v>Sand Springs city</v>
      </c>
      <c r="K1898" s="1">
        <f>IF(COUNTIF($I$5:I1898,I1898)=1,1,0)</f>
        <v>0</v>
      </c>
    </row>
    <row r="1899" spans="1:11" x14ac:dyDescent="0.2">
      <c r="A1899" s="9">
        <v>1895</v>
      </c>
      <c r="B1899" s="5" t="s">
        <v>1894</v>
      </c>
      <c r="C1899" s="6">
        <v>19644</v>
      </c>
      <c r="D1899" s="6">
        <v>19683</v>
      </c>
      <c r="E1899" s="6">
        <v>19989</v>
      </c>
      <c r="F1899" s="6">
        <v>20005</v>
      </c>
      <c r="G1899" s="6">
        <v>20035</v>
      </c>
      <c r="H1899" s="6">
        <v>20319</v>
      </c>
      <c r="I1899" s="1" t="str">
        <f t="shared" si="58"/>
        <v xml:space="preserve"> Utah</v>
      </c>
      <c r="J1899" s="1" t="str">
        <f t="shared" si="59"/>
        <v>Brigham City city</v>
      </c>
      <c r="K1899" s="1">
        <f>IF(COUNTIF($I$5:I1899,I1899)=1,1,0)</f>
        <v>0</v>
      </c>
    </row>
    <row r="1900" spans="1:11" x14ac:dyDescent="0.2">
      <c r="A1900" s="9">
        <v>1896</v>
      </c>
      <c r="B1900" s="5" t="s">
        <v>1895</v>
      </c>
      <c r="C1900" s="6">
        <v>19308</v>
      </c>
      <c r="D1900" s="6">
        <v>19352</v>
      </c>
      <c r="E1900" s="6">
        <v>19463</v>
      </c>
      <c r="F1900" s="6">
        <v>19531</v>
      </c>
      <c r="G1900" s="6">
        <v>19801</v>
      </c>
      <c r="H1900" s="6">
        <v>20296</v>
      </c>
      <c r="I1900" s="1" t="str">
        <f t="shared" si="58"/>
        <v xml:space="preserve"> California</v>
      </c>
      <c r="J1900" s="1" t="str">
        <f t="shared" si="59"/>
        <v>Dixon city</v>
      </c>
      <c r="K1900" s="1">
        <f>IF(COUNTIF($I$5:I1900,I1900)=1,1,0)</f>
        <v>0</v>
      </c>
    </row>
    <row r="1901" spans="1:11" x14ac:dyDescent="0.2">
      <c r="A1901" s="9">
        <v>1897</v>
      </c>
      <c r="B1901" s="5" t="s">
        <v>1896</v>
      </c>
      <c r="C1901" s="6">
        <v>18601</v>
      </c>
      <c r="D1901" s="6">
        <v>18585</v>
      </c>
      <c r="E1901" s="6">
        <v>19066</v>
      </c>
      <c r="F1901" s="6">
        <v>19377</v>
      </c>
      <c r="G1901" s="6">
        <v>19947</v>
      </c>
      <c r="H1901" s="6">
        <v>20286</v>
      </c>
      <c r="I1901" s="1" t="str">
        <f t="shared" si="58"/>
        <v xml:space="preserve"> Pennsylvania</v>
      </c>
      <c r="J1901" s="1" t="str">
        <f t="shared" si="59"/>
        <v>Phoenixville borough</v>
      </c>
      <c r="K1901" s="1">
        <f>IF(COUNTIF($I$5:I1901,I1901)=1,1,0)</f>
        <v>0</v>
      </c>
    </row>
    <row r="1902" spans="1:11" x14ac:dyDescent="0.2">
      <c r="A1902" s="9">
        <v>1898</v>
      </c>
      <c r="B1902" s="5" t="s">
        <v>1897</v>
      </c>
      <c r="C1902" s="6">
        <v>19714</v>
      </c>
      <c r="D1902" s="6">
        <v>19753</v>
      </c>
      <c r="E1902" s="6">
        <v>19853</v>
      </c>
      <c r="F1902" s="6">
        <v>20032</v>
      </c>
      <c r="G1902" s="6">
        <v>20126</v>
      </c>
      <c r="H1902" s="6">
        <v>20267</v>
      </c>
      <c r="I1902" s="1" t="str">
        <f t="shared" si="58"/>
        <v xml:space="preserve"> Texas</v>
      </c>
      <c r="J1902" s="1" t="str">
        <f t="shared" si="59"/>
        <v>Universal City city</v>
      </c>
      <c r="K1902" s="1">
        <f>IF(COUNTIF($I$5:I1902,I1902)=1,1,0)</f>
        <v>0</v>
      </c>
    </row>
    <row r="1903" spans="1:11" x14ac:dyDescent="0.2">
      <c r="A1903" s="9">
        <v>1899</v>
      </c>
      <c r="B1903" s="5" t="s">
        <v>1898</v>
      </c>
      <c r="C1903" s="6">
        <v>20647</v>
      </c>
      <c r="D1903" s="6">
        <v>20616</v>
      </c>
      <c r="E1903" s="6">
        <v>20503</v>
      </c>
      <c r="F1903" s="6">
        <v>20392</v>
      </c>
      <c r="G1903" s="6">
        <v>20261</v>
      </c>
      <c r="H1903" s="6">
        <v>20259</v>
      </c>
      <c r="I1903" s="1" t="str">
        <f t="shared" si="58"/>
        <v xml:space="preserve"> Michigan</v>
      </c>
      <c r="J1903" s="1" t="str">
        <f t="shared" si="59"/>
        <v>Adrian city</v>
      </c>
      <c r="K1903" s="1">
        <f>IF(COUNTIF($I$5:I1903,I1903)=1,1,0)</f>
        <v>0</v>
      </c>
    </row>
    <row r="1904" spans="1:11" x14ac:dyDescent="0.2">
      <c r="A1904" s="9">
        <v>1900</v>
      </c>
      <c r="B1904" s="5" t="s">
        <v>1899</v>
      </c>
      <c r="C1904" s="6">
        <v>19927</v>
      </c>
      <c r="D1904" s="6">
        <v>19913</v>
      </c>
      <c r="E1904" s="6">
        <v>19849</v>
      </c>
      <c r="F1904" s="6">
        <v>19799</v>
      </c>
      <c r="G1904" s="6">
        <v>19870</v>
      </c>
      <c r="H1904" s="6">
        <v>20253</v>
      </c>
      <c r="I1904" s="1" t="str">
        <f t="shared" si="58"/>
        <v xml:space="preserve"> Ohio</v>
      </c>
      <c r="J1904" s="1" t="str">
        <f t="shared" si="59"/>
        <v>Miamisburg city</v>
      </c>
      <c r="K1904" s="1">
        <f>IF(COUNTIF($I$5:I1904,I1904)=1,1,0)</f>
        <v>0</v>
      </c>
    </row>
    <row r="1905" spans="1:11" x14ac:dyDescent="0.2">
      <c r="A1905" s="9">
        <v>1901</v>
      </c>
      <c r="B1905" s="5" t="s">
        <v>1900</v>
      </c>
      <c r="C1905" s="6">
        <v>18335</v>
      </c>
      <c r="D1905" s="6">
        <v>18461</v>
      </c>
      <c r="E1905" s="6">
        <v>18845</v>
      </c>
      <c r="F1905" s="6">
        <v>19229</v>
      </c>
      <c r="G1905" s="6">
        <v>19869</v>
      </c>
      <c r="H1905" s="6">
        <v>20239</v>
      </c>
      <c r="I1905" s="1" t="str">
        <f t="shared" si="58"/>
        <v xml:space="preserve"> Alabama</v>
      </c>
      <c r="J1905" s="1" t="str">
        <f t="shared" si="59"/>
        <v>Cullman city</v>
      </c>
      <c r="K1905" s="1">
        <f>IF(COUNTIF($I$5:I1905,I1905)=1,1,0)</f>
        <v>0</v>
      </c>
    </row>
    <row r="1906" spans="1:11" x14ac:dyDescent="0.2">
      <c r="A1906" s="9">
        <v>1902</v>
      </c>
      <c r="B1906" s="5" t="s">
        <v>1901</v>
      </c>
      <c r="C1906" s="6">
        <v>20797</v>
      </c>
      <c r="D1906" s="6">
        <v>20772</v>
      </c>
      <c r="E1906" s="6">
        <v>20567</v>
      </c>
      <c r="F1906" s="6">
        <v>20347</v>
      </c>
      <c r="G1906" s="6">
        <v>20238</v>
      </c>
      <c r="H1906" s="6">
        <v>20233</v>
      </c>
      <c r="I1906" s="1" t="str">
        <f t="shared" si="58"/>
        <v xml:space="preserve"> Wisconsin</v>
      </c>
      <c r="J1906" s="1" t="str">
        <f t="shared" si="59"/>
        <v>South Milwaukee city</v>
      </c>
      <c r="K1906" s="1">
        <f>IF(COUNTIF($I$5:I1906,I1906)=1,1,0)</f>
        <v>0</v>
      </c>
    </row>
    <row r="1907" spans="1:11" x14ac:dyDescent="0.2">
      <c r="A1907" s="9">
        <v>1903</v>
      </c>
      <c r="B1907" s="5" t="s">
        <v>1902</v>
      </c>
      <c r="C1907" s="6">
        <v>20457</v>
      </c>
      <c r="D1907" s="6">
        <v>20417</v>
      </c>
      <c r="E1907" s="6">
        <v>20352</v>
      </c>
      <c r="F1907" s="6">
        <v>20204</v>
      </c>
      <c r="G1907" s="6">
        <v>20197</v>
      </c>
      <c r="H1907" s="6">
        <v>20223</v>
      </c>
      <c r="I1907" s="1" t="str">
        <f t="shared" si="58"/>
        <v xml:space="preserve"> Illinois</v>
      </c>
      <c r="J1907" s="1" t="str">
        <f t="shared" si="59"/>
        <v>Crest Hill city</v>
      </c>
      <c r="K1907" s="1">
        <f>IF(COUNTIF($I$5:I1907,I1907)=1,1,0)</f>
        <v>0</v>
      </c>
    </row>
    <row r="1908" spans="1:11" x14ac:dyDescent="0.2">
      <c r="A1908" s="9">
        <v>1904</v>
      </c>
      <c r="B1908" s="5" t="s">
        <v>1903</v>
      </c>
      <c r="C1908" s="6">
        <v>18377</v>
      </c>
      <c r="D1908" s="6">
        <v>18460</v>
      </c>
      <c r="E1908" s="6">
        <v>18833</v>
      </c>
      <c r="F1908" s="6">
        <v>19156</v>
      </c>
      <c r="G1908" s="6">
        <v>19640</v>
      </c>
      <c r="H1908" s="6">
        <v>20194</v>
      </c>
      <c r="I1908" s="1" t="str">
        <f t="shared" si="58"/>
        <v xml:space="preserve"> Texas</v>
      </c>
      <c r="J1908" s="1" t="str">
        <f t="shared" si="59"/>
        <v>La Marque city</v>
      </c>
      <c r="K1908" s="1">
        <f>IF(COUNTIF($I$5:I1908,I1908)=1,1,0)</f>
        <v>0</v>
      </c>
    </row>
    <row r="1909" spans="1:11" x14ac:dyDescent="0.2">
      <c r="A1909" s="9">
        <v>1905</v>
      </c>
      <c r="B1909" s="5" t="s">
        <v>1904</v>
      </c>
      <c r="C1909" s="6">
        <v>20460</v>
      </c>
      <c r="D1909" s="6">
        <v>20451</v>
      </c>
      <c r="E1909" s="6">
        <v>20426</v>
      </c>
      <c r="F1909" s="6">
        <v>20255</v>
      </c>
      <c r="G1909" s="6">
        <v>20189</v>
      </c>
      <c r="H1909" s="6">
        <v>20177</v>
      </c>
      <c r="I1909" s="1" t="str">
        <f t="shared" si="58"/>
        <v xml:space="preserve"> Michigan</v>
      </c>
      <c r="J1909" s="1" t="str">
        <f t="shared" si="59"/>
        <v>Monroe city</v>
      </c>
      <c r="K1909" s="1">
        <f>IF(COUNTIF($I$5:I1909,I1909)=1,1,0)</f>
        <v>0</v>
      </c>
    </row>
    <row r="1910" spans="1:11" x14ac:dyDescent="0.2">
      <c r="A1910" s="9">
        <v>1906</v>
      </c>
      <c r="B1910" s="5" t="s">
        <v>1905</v>
      </c>
      <c r="C1910" s="6">
        <v>19651</v>
      </c>
      <c r="D1910" s="6">
        <v>19689</v>
      </c>
      <c r="E1910" s="6">
        <v>19759</v>
      </c>
      <c r="F1910" s="6">
        <v>19806</v>
      </c>
      <c r="G1910" s="6">
        <v>19935</v>
      </c>
      <c r="H1910" s="6">
        <v>20172</v>
      </c>
      <c r="I1910" s="1" t="str">
        <f t="shared" si="58"/>
        <v xml:space="preserve"> Kentucky</v>
      </c>
      <c r="J1910" s="1" t="str">
        <f t="shared" si="59"/>
        <v>Erlanger city</v>
      </c>
      <c r="K1910" s="1">
        <f>IF(COUNTIF($I$5:I1910,I1910)=1,1,0)</f>
        <v>0</v>
      </c>
    </row>
    <row r="1911" spans="1:11" x14ac:dyDescent="0.2">
      <c r="A1911" s="9">
        <v>1907</v>
      </c>
      <c r="B1911" s="5" t="s">
        <v>1906</v>
      </c>
      <c r="C1911" s="6">
        <v>19117</v>
      </c>
      <c r="D1911" s="6">
        <v>19137</v>
      </c>
      <c r="E1911" s="6">
        <v>19479</v>
      </c>
      <c r="F1911" s="6">
        <v>19752</v>
      </c>
      <c r="G1911" s="6">
        <v>19987</v>
      </c>
      <c r="H1911" s="6">
        <v>20168</v>
      </c>
      <c r="I1911" s="1" t="str">
        <f t="shared" si="58"/>
        <v xml:space="preserve"> Florida</v>
      </c>
      <c r="J1911" s="1" t="str">
        <f t="shared" si="59"/>
        <v>Naples city</v>
      </c>
      <c r="K1911" s="1">
        <f>IF(COUNTIF($I$5:I1911,I1911)=1,1,0)</f>
        <v>0</v>
      </c>
    </row>
    <row r="1912" spans="1:11" x14ac:dyDescent="0.2">
      <c r="A1912" s="9">
        <v>1908</v>
      </c>
      <c r="B1912" s="5" t="s">
        <v>1907</v>
      </c>
      <c r="C1912" s="6">
        <v>20415</v>
      </c>
      <c r="D1912" s="6">
        <v>20399</v>
      </c>
      <c r="E1912" s="6">
        <v>20711</v>
      </c>
      <c r="F1912" s="6">
        <v>20613</v>
      </c>
      <c r="G1912" s="6">
        <v>20283</v>
      </c>
      <c r="H1912" s="6">
        <v>20151</v>
      </c>
      <c r="I1912" s="1" t="str">
        <f t="shared" si="58"/>
        <v xml:space="preserve"> Colorado</v>
      </c>
      <c r="J1912" s="1" t="str">
        <f t="shared" si="59"/>
        <v>Golden city</v>
      </c>
      <c r="K1912" s="1">
        <f>IF(COUNTIF($I$5:I1912,I1912)=1,1,0)</f>
        <v>0</v>
      </c>
    </row>
    <row r="1913" spans="1:11" x14ac:dyDescent="0.2">
      <c r="A1913" s="9">
        <v>1909</v>
      </c>
      <c r="B1913" s="5" t="s">
        <v>1908</v>
      </c>
      <c r="C1913" s="6">
        <v>20653</v>
      </c>
      <c r="D1913" s="6">
        <v>20605</v>
      </c>
      <c r="E1913" s="6">
        <v>19180</v>
      </c>
      <c r="F1913" s="6">
        <v>19780</v>
      </c>
      <c r="G1913" s="6">
        <v>19549</v>
      </c>
      <c r="H1913" s="6">
        <v>20150</v>
      </c>
      <c r="I1913" s="1" t="str">
        <f t="shared" si="58"/>
        <v xml:space="preserve"> Michigan</v>
      </c>
      <c r="J1913" s="1" t="str">
        <f t="shared" si="59"/>
        <v>Ypsilanti city</v>
      </c>
      <c r="K1913" s="1">
        <f>IF(COUNTIF($I$5:I1913,I1913)=1,1,0)</f>
        <v>0</v>
      </c>
    </row>
    <row r="1914" spans="1:11" x14ac:dyDescent="0.2">
      <c r="A1914" s="9">
        <v>1910</v>
      </c>
      <c r="B1914" s="5" t="s">
        <v>1909</v>
      </c>
      <c r="C1914" s="6">
        <v>16443</v>
      </c>
      <c r="D1914" s="6">
        <v>16692</v>
      </c>
      <c r="E1914" s="6">
        <v>17686</v>
      </c>
      <c r="F1914" s="6">
        <v>18951</v>
      </c>
      <c r="G1914" s="6">
        <v>19652</v>
      </c>
      <c r="H1914" s="6">
        <v>20133</v>
      </c>
      <c r="I1914" s="1" t="str">
        <f t="shared" si="58"/>
        <v xml:space="preserve"> Georgia</v>
      </c>
      <c r="J1914" s="1" t="str">
        <f t="shared" si="59"/>
        <v>Holly Springs city</v>
      </c>
      <c r="K1914" s="1">
        <f>IF(COUNTIF($I$5:I1914,I1914)=1,1,0)</f>
        <v>0</v>
      </c>
    </row>
    <row r="1915" spans="1:11" x14ac:dyDescent="0.2">
      <c r="A1915" s="9">
        <v>1911</v>
      </c>
      <c r="B1915" s="5" t="s">
        <v>1910</v>
      </c>
      <c r="C1915" s="6">
        <v>18458</v>
      </c>
      <c r="D1915" s="6">
        <v>18554</v>
      </c>
      <c r="E1915" s="6">
        <v>18813</v>
      </c>
      <c r="F1915" s="6">
        <v>19578</v>
      </c>
      <c r="G1915" s="6">
        <v>19891</v>
      </c>
      <c r="H1915" s="6">
        <v>20124</v>
      </c>
      <c r="I1915" s="1" t="str">
        <f t="shared" si="58"/>
        <v xml:space="preserve"> Texas</v>
      </c>
      <c r="J1915" s="1" t="str">
        <f t="shared" si="59"/>
        <v>Seagoville city</v>
      </c>
      <c r="K1915" s="1">
        <f>IF(COUNTIF($I$5:I1915,I1915)=1,1,0)</f>
        <v>0</v>
      </c>
    </row>
    <row r="1916" spans="1:11" x14ac:dyDescent="0.2">
      <c r="A1916" s="9">
        <v>1912</v>
      </c>
      <c r="B1916" s="5" t="s">
        <v>1911</v>
      </c>
      <c r="C1916" s="6">
        <v>18464</v>
      </c>
      <c r="D1916" s="6">
        <v>18534</v>
      </c>
      <c r="E1916" s="6">
        <v>18644</v>
      </c>
      <c r="F1916" s="6">
        <v>19008</v>
      </c>
      <c r="G1916" s="6">
        <v>19552</v>
      </c>
      <c r="H1916" s="6">
        <v>20119</v>
      </c>
      <c r="I1916" s="1" t="str">
        <f t="shared" si="58"/>
        <v xml:space="preserve"> Georgia</v>
      </c>
      <c r="J1916" s="1" t="str">
        <f t="shared" si="59"/>
        <v>St. Marys city</v>
      </c>
      <c r="K1916" s="1">
        <f>IF(COUNTIF($I$5:I1916,I1916)=1,1,0)</f>
        <v>0</v>
      </c>
    </row>
    <row r="1917" spans="1:11" x14ac:dyDescent="0.2">
      <c r="A1917" s="9">
        <v>1913</v>
      </c>
      <c r="B1917" s="5" t="s">
        <v>1912</v>
      </c>
      <c r="C1917" s="6">
        <v>19958</v>
      </c>
      <c r="D1917" s="6">
        <v>20002</v>
      </c>
      <c r="E1917" s="6">
        <v>20293</v>
      </c>
      <c r="F1917" s="6">
        <v>20143</v>
      </c>
      <c r="G1917" s="6">
        <v>20067</v>
      </c>
      <c r="H1917" s="6">
        <v>20112</v>
      </c>
      <c r="I1917" s="1" t="str">
        <f t="shared" si="58"/>
        <v xml:space="preserve"> Washington</v>
      </c>
      <c r="J1917" s="1" t="str">
        <f t="shared" si="59"/>
        <v>Port Angeles city</v>
      </c>
      <c r="K1917" s="1">
        <f>IF(COUNTIF($I$5:I1917,I1917)=1,1,0)</f>
        <v>0</v>
      </c>
    </row>
    <row r="1918" spans="1:11" x14ac:dyDescent="0.2">
      <c r="A1918" s="9">
        <v>1914</v>
      </c>
      <c r="B1918" s="5" t="s">
        <v>1913</v>
      </c>
      <c r="C1918" s="6">
        <v>17304</v>
      </c>
      <c r="D1918" s="6">
        <v>17389</v>
      </c>
      <c r="E1918" s="6">
        <v>17587</v>
      </c>
      <c r="F1918" s="6">
        <v>17922</v>
      </c>
      <c r="G1918" s="6">
        <v>19539</v>
      </c>
      <c r="H1918" s="6">
        <v>20111</v>
      </c>
      <c r="I1918" s="1" t="str">
        <f t="shared" si="58"/>
        <v xml:space="preserve"> Georgia</v>
      </c>
      <c r="J1918" s="1" t="str">
        <f t="shared" si="59"/>
        <v>Conyers city</v>
      </c>
      <c r="K1918" s="1">
        <f>IF(COUNTIF($I$5:I1918,I1918)=1,1,0)</f>
        <v>0</v>
      </c>
    </row>
    <row r="1919" spans="1:11" x14ac:dyDescent="0.2">
      <c r="A1919" s="9">
        <v>1915</v>
      </c>
      <c r="B1919" s="5" t="s">
        <v>1914</v>
      </c>
      <c r="C1919" s="6">
        <v>17071</v>
      </c>
      <c r="D1919" s="6">
        <v>17247</v>
      </c>
      <c r="E1919" s="6">
        <v>17973</v>
      </c>
      <c r="F1919" s="6">
        <v>18550</v>
      </c>
      <c r="G1919" s="6">
        <v>18824</v>
      </c>
      <c r="H1919" s="6">
        <v>20095</v>
      </c>
      <c r="I1919" s="1" t="str">
        <f t="shared" si="58"/>
        <v xml:space="preserve"> Georgia</v>
      </c>
      <c r="J1919" s="1" t="str">
        <f t="shared" si="59"/>
        <v>Villa Rica city</v>
      </c>
      <c r="K1919" s="1">
        <f>IF(COUNTIF($I$5:I1919,I1919)=1,1,0)</f>
        <v>0</v>
      </c>
    </row>
    <row r="1920" spans="1:11" x14ac:dyDescent="0.2">
      <c r="A1920" s="9">
        <v>1915</v>
      </c>
      <c r="B1920" s="5" t="s">
        <v>1915</v>
      </c>
      <c r="C1920" s="6">
        <v>17720</v>
      </c>
      <c r="D1920" s="6">
        <v>17876</v>
      </c>
      <c r="E1920" s="6">
        <v>18677</v>
      </c>
      <c r="F1920" s="6">
        <v>19031</v>
      </c>
      <c r="G1920" s="6">
        <v>19628</v>
      </c>
      <c r="H1920" s="6">
        <v>20095</v>
      </c>
      <c r="I1920" s="1" t="str">
        <f t="shared" si="58"/>
        <v xml:space="preserve"> Idaho</v>
      </c>
      <c r="J1920" s="1" t="str">
        <f t="shared" si="59"/>
        <v>Ammon city</v>
      </c>
      <c r="K1920" s="1">
        <f>IF(COUNTIF($I$5:I1920,I1920)=1,1,0)</f>
        <v>0</v>
      </c>
    </row>
    <row r="1921" spans="1:11" x14ac:dyDescent="0.2">
      <c r="A1921" s="9">
        <v>1917</v>
      </c>
      <c r="B1921" s="5" t="s">
        <v>1916</v>
      </c>
      <c r="C1921" s="6">
        <v>19112</v>
      </c>
      <c r="D1921" s="6">
        <v>19532</v>
      </c>
      <c r="E1921" s="6">
        <v>20135</v>
      </c>
      <c r="F1921" s="6">
        <v>20094</v>
      </c>
      <c r="G1921" s="6">
        <v>20350</v>
      </c>
      <c r="H1921" s="6">
        <v>20080</v>
      </c>
      <c r="I1921" s="1" t="str">
        <f t="shared" si="58"/>
        <v xml:space="preserve"> North Carolina</v>
      </c>
      <c r="J1921" s="1" t="str">
        <f t="shared" si="59"/>
        <v>Boone town</v>
      </c>
      <c r="K1921" s="1">
        <f>IF(COUNTIF($I$5:I1921,I1921)=1,1,0)</f>
        <v>0</v>
      </c>
    </row>
    <row r="1922" spans="1:11" x14ac:dyDescent="0.2">
      <c r="A1922" s="9">
        <v>1918</v>
      </c>
      <c r="B1922" s="5" t="s">
        <v>1917</v>
      </c>
      <c r="C1922" s="6">
        <v>17391</v>
      </c>
      <c r="D1922" s="6">
        <v>17521</v>
      </c>
      <c r="E1922" s="6">
        <v>17908</v>
      </c>
      <c r="F1922" s="6">
        <v>18660</v>
      </c>
      <c r="G1922" s="6">
        <v>19439</v>
      </c>
      <c r="H1922" s="6">
        <v>20075</v>
      </c>
      <c r="I1922" s="1" t="str">
        <f t="shared" si="58"/>
        <v xml:space="preserve"> Arkansas</v>
      </c>
      <c r="J1922" s="1" t="str">
        <f t="shared" si="59"/>
        <v>Siloam Springs city</v>
      </c>
      <c r="K1922" s="1">
        <f>IF(COUNTIF($I$5:I1922,I1922)=1,1,0)</f>
        <v>0</v>
      </c>
    </row>
    <row r="1923" spans="1:11" x14ac:dyDescent="0.2">
      <c r="A1923" s="9">
        <v>1919</v>
      </c>
      <c r="B1923" s="5" t="s">
        <v>1918</v>
      </c>
      <c r="C1923" s="6">
        <v>16993</v>
      </c>
      <c r="D1923" s="6">
        <v>17131</v>
      </c>
      <c r="E1923" s="6">
        <v>17762</v>
      </c>
      <c r="F1923" s="6">
        <v>18602</v>
      </c>
      <c r="G1923" s="6">
        <v>19258</v>
      </c>
      <c r="H1923" s="6">
        <v>20041</v>
      </c>
      <c r="I1923" s="1" t="str">
        <f t="shared" si="58"/>
        <v xml:space="preserve"> Oklahoma</v>
      </c>
      <c r="J1923" s="1" t="str">
        <f t="shared" si="59"/>
        <v>El Reno city</v>
      </c>
      <c r="K1923" s="1">
        <f>IF(COUNTIF($I$5:I1923,I1923)=1,1,0)</f>
        <v>0</v>
      </c>
    </row>
    <row r="1924" spans="1:11" x14ac:dyDescent="0.2">
      <c r="A1924" s="9">
        <v>1920</v>
      </c>
      <c r="B1924" s="5" t="s">
        <v>1919</v>
      </c>
      <c r="C1924" s="6">
        <v>20191</v>
      </c>
      <c r="D1924" s="6">
        <v>20168</v>
      </c>
      <c r="E1924" s="6">
        <v>20044</v>
      </c>
      <c r="F1924" s="6">
        <v>19923</v>
      </c>
      <c r="G1924" s="6">
        <v>19947</v>
      </c>
      <c r="H1924" s="6">
        <v>20033</v>
      </c>
      <c r="I1924" s="1" t="str">
        <f t="shared" si="58"/>
        <v xml:space="preserve"> Ohio</v>
      </c>
      <c r="J1924" s="1" t="str">
        <f t="shared" si="59"/>
        <v>Forest Park city</v>
      </c>
      <c r="K1924" s="1">
        <f>IF(COUNTIF($I$5:I1924,I1924)=1,1,0)</f>
        <v>0</v>
      </c>
    </row>
    <row r="1925" spans="1:11" x14ac:dyDescent="0.2">
      <c r="A1925" s="9">
        <v>1921</v>
      </c>
      <c r="B1925" s="5" t="s">
        <v>1920</v>
      </c>
      <c r="C1925" s="6">
        <v>21559</v>
      </c>
      <c r="D1925" s="6">
        <v>21465</v>
      </c>
      <c r="E1925" s="6">
        <v>20851</v>
      </c>
      <c r="F1925" s="6">
        <v>20391</v>
      </c>
      <c r="G1925" s="6">
        <v>20184</v>
      </c>
      <c r="H1925" s="6">
        <v>20032</v>
      </c>
      <c r="I1925" s="1" t="str">
        <f t="shared" si="58"/>
        <v xml:space="preserve"> Mississippi</v>
      </c>
      <c r="J1925" s="1" t="str">
        <f t="shared" si="59"/>
        <v>Vicksburg city</v>
      </c>
      <c r="K1925" s="1">
        <f>IF(COUNTIF($I$5:I1925,I1925)=1,1,0)</f>
        <v>0</v>
      </c>
    </row>
    <row r="1926" spans="1:11" x14ac:dyDescent="0.2">
      <c r="A1926" s="9">
        <v>1922</v>
      </c>
      <c r="B1926" s="5" t="s">
        <v>1921</v>
      </c>
      <c r="C1926" s="6">
        <v>19636</v>
      </c>
      <c r="D1926" s="6">
        <v>19567</v>
      </c>
      <c r="E1926" s="6">
        <v>19398</v>
      </c>
      <c r="F1926" s="6">
        <v>19375</v>
      </c>
      <c r="G1926" s="6">
        <v>19757</v>
      </c>
      <c r="H1926" s="6">
        <v>20006</v>
      </c>
      <c r="I1926" s="1" t="str">
        <f t="shared" ref="I1926:I1945" si="60">_xlfn.TEXTAFTER(B1926,",")</f>
        <v xml:space="preserve"> New Jersey</v>
      </c>
      <c r="J1926" s="1" t="str">
        <f t="shared" ref="J1926:J1945" si="61">_xlfn.TEXTBEFORE(B1926,", ")</f>
        <v>Hawthorne borough</v>
      </c>
      <c r="K1926" s="1">
        <f>IF(COUNTIF($I$5:I1926,I1926)=1,1,0)</f>
        <v>0</v>
      </c>
    </row>
    <row r="1927" spans="1:11" x14ac:dyDescent="0.2">
      <c r="A1927" s="9">
        <v>1923</v>
      </c>
      <c r="B1927" s="5" t="s">
        <v>1922</v>
      </c>
      <c r="C1927" s="6">
        <v>18172</v>
      </c>
      <c r="D1927" s="6">
        <v>18212</v>
      </c>
      <c r="E1927" s="6">
        <v>18344</v>
      </c>
      <c r="F1927" s="6">
        <v>19215</v>
      </c>
      <c r="G1927" s="6">
        <v>19700</v>
      </c>
      <c r="H1927" s="6">
        <v>20002</v>
      </c>
      <c r="I1927" s="1" t="str">
        <f t="shared" si="60"/>
        <v xml:space="preserve"> Wisconsin</v>
      </c>
      <c r="J1927" s="1" t="str">
        <f t="shared" si="61"/>
        <v>Oconomowoc city</v>
      </c>
      <c r="K1927" s="1">
        <f>IF(COUNTIF($I$5:I1927,I1927)=1,1,0)</f>
        <v>0</v>
      </c>
    </row>
    <row r="1928" spans="1:11" x14ac:dyDescent="0.2">
      <c r="A1928" s="9">
        <v>1924</v>
      </c>
      <c r="B1928" s="5" t="s">
        <v>1923</v>
      </c>
      <c r="C1928" s="6">
        <v>20127</v>
      </c>
      <c r="D1928" s="6">
        <v>20103</v>
      </c>
      <c r="E1928" s="6">
        <v>20116</v>
      </c>
      <c r="F1928" s="6">
        <v>19986</v>
      </c>
      <c r="G1928" s="6">
        <v>19899</v>
      </c>
      <c r="H1928" s="6">
        <v>19940</v>
      </c>
      <c r="I1928" s="1" t="str">
        <f t="shared" si="60"/>
        <v xml:space="preserve"> Ohio</v>
      </c>
      <c r="J1928" s="1" t="str">
        <f t="shared" si="61"/>
        <v>Whitehall city</v>
      </c>
      <c r="K1928" s="1">
        <f>IF(COUNTIF($I$5:I1928,I1928)=1,1,0)</f>
        <v>0</v>
      </c>
    </row>
    <row r="1929" spans="1:11" x14ac:dyDescent="0.2">
      <c r="A1929" s="9">
        <v>1925</v>
      </c>
      <c r="B1929" s="5" t="s">
        <v>1924</v>
      </c>
      <c r="C1929" s="6">
        <v>19818</v>
      </c>
      <c r="D1929" s="6">
        <v>20024</v>
      </c>
      <c r="E1929" s="6">
        <v>19802</v>
      </c>
      <c r="F1929" s="6">
        <v>19401</v>
      </c>
      <c r="G1929" s="6">
        <v>19584</v>
      </c>
      <c r="H1929" s="6">
        <v>19927</v>
      </c>
      <c r="I1929" s="1" t="str">
        <f t="shared" si="60"/>
        <v xml:space="preserve"> Washington</v>
      </c>
      <c r="J1929" s="1" t="str">
        <f t="shared" si="61"/>
        <v>Monroe city</v>
      </c>
      <c r="K1929" s="1">
        <f>IF(COUNTIF($I$5:I1929,I1929)=1,1,0)</f>
        <v>0</v>
      </c>
    </row>
    <row r="1930" spans="1:11" x14ac:dyDescent="0.2">
      <c r="A1930" s="9">
        <v>1926</v>
      </c>
      <c r="B1930" s="5" t="s">
        <v>1925</v>
      </c>
      <c r="C1930" s="6">
        <v>20346</v>
      </c>
      <c r="D1930" s="6">
        <v>20312</v>
      </c>
      <c r="E1930" s="6">
        <v>20104</v>
      </c>
      <c r="F1930" s="6">
        <v>19948</v>
      </c>
      <c r="G1930" s="6">
        <v>19882</v>
      </c>
      <c r="H1930" s="6">
        <v>19886</v>
      </c>
      <c r="I1930" s="1" t="str">
        <f t="shared" si="60"/>
        <v xml:space="preserve"> Ohio</v>
      </c>
      <c r="J1930" s="1" t="str">
        <f t="shared" si="61"/>
        <v>Mayfield Heights city</v>
      </c>
      <c r="K1930" s="1">
        <f>IF(COUNTIF($I$5:I1930,I1930)=1,1,0)</f>
        <v>0</v>
      </c>
    </row>
    <row r="1931" spans="1:11" x14ac:dyDescent="0.2">
      <c r="A1931" s="9">
        <v>1927</v>
      </c>
      <c r="B1931" s="5" t="s">
        <v>1926</v>
      </c>
      <c r="C1931" s="6">
        <v>20952</v>
      </c>
      <c r="D1931" s="6">
        <v>20876</v>
      </c>
      <c r="E1931" s="6">
        <v>20395</v>
      </c>
      <c r="F1931" s="6">
        <v>20105</v>
      </c>
      <c r="G1931" s="6">
        <v>19922</v>
      </c>
      <c r="H1931" s="6">
        <v>19841</v>
      </c>
      <c r="I1931" s="1" t="str">
        <f t="shared" si="60"/>
        <v xml:space="preserve"> California</v>
      </c>
      <c r="J1931" s="1" t="str">
        <f t="shared" si="61"/>
        <v>Lomita city</v>
      </c>
      <c r="K1931" s="1">
        <f>IF(COUNTIF($I$5:I1931,I1931)=1,1,0)</f>
        <v>0</v>
      </c>
    </row>
    <row r="1932" spans="1:11" x14ac:dyDescent="0.2">
      <c r="A1932" s="9">
        <v>1928</v>
      </c>
      <c r="B1932" s="5" t="s">
        <v>1927</v>
      </c>
      <c r="C1932" s="6">
        <v>20193</v>
      </c>
      <c r="D1932" s="6">
        <v>20073</v>
      </c>
      <c r="E1932" s="6">
        <v>19955</v>
      </c>
      <c r="F1932" s="6">
        <v>19714</v>
      </c>
      <c r="G1932" s="6">
        <v>19652</v>
      </c>
      <c r="H1932" s="6">
        <v>19783</v>
      </c>
      <c r="I1932" s="1" t="str">
        <f t="shared" si="60"/>
        <v xml:space="preserve"> New York</v>
      </c>
      <c r="J1932" s="1" t="str">
        <f t="shared" si="61"/>
        <v>Mamaroneck village</v>
      </c>
      <c r="K1932" s="1">
        <f>IF(COUNTIF($I$5:I1932,I1932)=1,1,0)</f>
        <v>0</v>
      </c>
    </row>
    <row r="1933" spans="1:11" x14ac:dyDescent="0.2">
      <c r="A1933" s="9">
        <v>1929</v>
      </c>
      <c r="B1933" s="5" t="s">
        <v>1928</v>
      </c>
      <c r="C1933" s="6">
        <v>20323</v>
      </c>
      <c r="D1933" s="6">
        <v>20246</v>
      </c>
      <c r="E1933" s="6">
        <v>19875</v>
      </c>
      <c r="F1933" s="6">
        <v>19610</v>
      </c>
      <c r="G1933" s="6">
        <v>19547</v>
      </c>
      <c r="H1933" s="6">
        <v>19781</v>
      </c>
      <c r="I1933" s="1" t="str">
        <f t="shared" si="60"/>
        <v xml:space="preserve"> Illinois</v>
      </c>
      <c r="J1933" s="1" t="str">
        <f t="shared" si="61"/>
        <v>Harvey city</v>
      </c>
      <c r="K1933" s="1">
        <f>IF(COUNTIF($I$5:I1933,I1933)=1,1,0)</f>
        <v>0</v>
      </c>
    </row>
    <row r="1934" spans="1:11" x14ac:dyDescent="0.2">
      <c r="A1934" s="9">
        <v>1930</v>
      </c>
      <c r="B1934" s="5" t="s">
        <v>1929</v>
      </c>
      <c r="C1934" s="6">
        <v>20165</v>
      </c>
      <c r="D1934" s="6">
        <v>20039</v>
      </c>
      <c r="E1934" s="6">
        <v>19854</v>
      </c>
      <c r="F1934" s="6">
        <v>19579</v>
      </c>
      <c r="G1934" s="6">
        <v>19554</v>
      </c>
      <c r="H1934" s="6">
        <v>19712</v>
      </c>
      <c r="I1934" s="1" t="str">
        <f t="shared" si="60"/>
        <v xml:space="preserve"> California</v>
      </c>
      <c r="J1934" s="1" t="str">
        <f t="shared" si="61"/>
        <v>Oroville city</v>
      </c>
      <c r="K1934" s="1">
        <f>IF(COUNTIF($I$5:I1934,I1934)=1,1,0)</f>
        <v>0</v>
      </c>
    </row>
    <row r="1935" spans="1:11" x14ac:dyDescent="0.2">
      <c r="A1935" s="9">
        <v>1931</v>
      </c>
      <c r="B1935" s="5" t="s">
        <v>1930</v>
      </c>
      <c r="C1935" s="6">
        <v>20574</v>
      </c>
      <c r="D1935" s="6">
        <v>20501</v>
      </c>
      <c r="E1935" s="6">
        <v>20054</v>
      </c>
      <c r="F1935" s="6">
        <v>19794</v>
      </c>
      <c r="G1935" s="6">
        <v>19666</v>
      </c>
      <c r="H1935" s="6">
        <v>19621</v>
      </c>
      <c r="I1935" s="1" t="str">
        <f t="shared" si="60"/>
        <v xml:space="preserve"> California</v>
      </c>
      <c r="J1935" s="1" t="str">
        <f t="shared" si="61"/>
        <v>La Cañada Flintridge city</v>
      </c>
      <c r="K1935" s="1">
        <f>IF(COUNTIF($I$5:I1935,I1935)=1,1,0)</f>
        <v>0</v>
      </c>
    </row>
    <row r="1936" spans="1:11" x14ac:dyDescent="0.2">
      <c r="A1936" s="9">
        <v>1932</v>
      </c>
      <c r="B1936" s="5" t="s">
        <v>1931</v>
      </c>
      <c r="C1936" s="6">
        <v>20270</v>
      </c>
      <c r="D1936" s="6">
        <v>20226</v>
      </c>
      <c r="E1936" s="6">
        <v>18920</v>
      </c>
      <c r="F1936" s="6">
        <v>19234</v>
      </c>
      <c r="G1936" s="6">
        <v>19243</v>
      </c>
      <c r="H1936" s="6">
        <v>19439</v>
      </c>
      <c r="I1936" s="1" t="str">
        <f t="shared" si="60"/>
        <v xml:space="preserve"> California</v>
      </c>
      <c r="J1936" s="1" t="str">
        <f t="shared" si="61"/>
        <v>Albany city</v>
      </c>
      <c r="K1936" s="1">
        <f>IF(COUNTIF($I$5:I1936,I1936)=1,1,0)</f>
        <v>0</v>
      </c>
    </row>
    <row r="1937" spans="1:11" x14ac:dyDescent="0.2">
      <c r="A1937" s="9">
        <v>1933</v>
      </c>
      <c r="B1937" s="5" t="s">
        <v>1932</v>
      </c>
      <c r="C1937" s="6">
        <v>20296</v>
      </c>
      <c r="D1937" s="6">
        <v>20230</v>
      </c>
      <c r="E1937" s="6">
        <v>19800</v>
      </c>
      <c r="F1937" s="6">
        <v>19606</v>
      </c>
      <c r="G1937" s="6">
        <v>19518</v>
      </c>
      <c r="H1937" s="6">
        <v>19429</v>
      </c>
      <c r="I1937" s="1" t="str">
        <f t="shared" si="60"/>
        <v xml:space="preserve"> California</v>
      </c>
      <c r="J1937" s="1" t="str">
        <f t="shared" si="61"/>
        <v>Agoura Hills city</v>
      </c>
      <c r="K1937" s="1">
        <f>IF(COUNTIF($I$5:I1937,I1937)=1,1,0)</f>
        <v>0</v>
      </c>
    </row>
    <row r="1938" spans="1:11" x14ac:dyDescent="0.2">
      <c r="A1938" s="9">
        <v>1933</v>
      </c>
      <c r="B1938" s="5" t="s">
        <v>1933</v>
      </c>
      <c r="C1938" s="6">
        <v>20169</v>
      </c>
      <c r="D1938" s="6">
        <v>20125</v>
      </c>
      <c r="E1938" s="6">
        <v>19885</v>
      </c>
      <c r="F1938" s="6">
        <v>19614</v>
      </c>
      <c r="G1938" s="6">
        <v>19492</v>
      </c>
      <c r="H1938" s="6">
        <v>19429</v>
      </c>
      <c r="I1938" s="1" t="str">
        <f t="shared" si="60"/>
        <v xml:space="preserve"> Texas</v>
      </c>
      <c r="J1938" s="1" t="str">
        <f t="shared" si="61"/>
        <v>Plainview city</v>
      </c>
      <c r="K1938" s="1">
        <f>IF(COUNTIF($I$5:I1938,I1938)=1,1,0)</f>
        <v>0</v>
      </c>
    </row>
    <row r="1939" spans="1:11" x14ac:dyDescent="0.2">
      <c r="A1939" s="10">
        <v>1935</v>
      </c>
      <c r="B1939" s="7" t="s">
        <v>1934</v>
      </c>
      <c r="C1939" s="8">
        <v>20199</v>
      </c>
      <c r="D1939" s="8">
        <v>20180</v>
      </c>
      <c r="E1939" s="8">
        <v>19257</v>
      </c>
      <c r="F1939" s="8">
        <v>18912</v>
      </c>
      <c r="G1939" s="8">
        <v>18657</v>
      </c>
      <c r="H1939" s="8">
        <v>18031</v>
      </c>
      <c r="I1939" s="1" t="str">
        <f t="shared" si="60"/>
        <v xml:space="preserve"> California</v>
      </c>
      <c r="J1939" s="1" t="str">
        <f t="shared" si="61"/>
        <v>Coronado city</v>
      </c>
      <c r="K1939" s="1">
        <f>IF(COUNTIF($I$5:I1939,I1939)=1,1,0)</f>
        <v>0</v>
      </c>
    </row>
    <row r="1940" spans="1:11" ht="26" customHeight="1" x14ac:dyDescent="0.2">
      <c r="A1940" s="25" t="s">
        <v>1940</v>
      </c>
      <c r="B1940" s="26"/>
      <c r="C1940" s="26"/>
      <c r="D1940" s="26"/>
      <c r="E1940" s="26"/>
      <c r="F1940" s="26"/>
      <c r="G1940" s="26"/>
      <c r="H1940" s="26"/>
      <c r="I1940" s="1" t="e">
        <f t="shared" si="60"/>
        <v>#N/A</v>
      </c>
      <c r="J1940" s="1" t="e">
        <f t="shared" si="61"/>
        <v>#N/A</v>
      </c>
      <c r="K1940" s="1">
        <f>IF(COUNTIF($I$5:I1940,I1940)=1,1,0)</f>
        <v>1</v>
      </c>
    </row>
    <row r="1941" spans="1:11" ht="60" customHeight="1" x14ac:dyDescent="0.2">
      <c r="A1941" s="27" t="s">
        <v>1946</v>
      </c>
      <c r="B1941" s="28"/>
      <c r="C1941" s="28"/>
      <c r="D1941" s="28"/>
      <c r="E1941" s="28"/>
      <c r="F1941" s="28"/>
      <c r="G1941" s="28"/>
      <c r="H1941" s="29"/>
      <c r="I1941" s="1" t="e">
        <f t="shared" si="60"/>
        <v>#N/A</v>
      </c>
      <c r="J1941" s="1" t="e">
        <f t="shared" si="61"/>
        <v>#N/A</v>
      </c>
      <c r="K1941" s="1">
        <f>IF(COUNTIF($I$5:I1941,I1941)=1,1,0)</f>
        <v>0</v>
      </c>
    </row>
    <row r="1942" spans="1:11" x14ac:dyDescent="0.2">
      <c r="A1942" s="30" t="s">
        <v>1941</v>
      </c>
      <c r="B1942" s="31"/>
      <c r="C1942" s="31"/>
      <c r="D1942" s="31"/>
      <c r="E1942" s="31"/>
      <c r="F1942" s="31"/>
      <c r="G1942" s="31"/>
      <c r="H1942" s="32"/>
      <c r="I1942" s="1" t="e">
        <f t="shared" si="60"/>
        <v>#N/A</v>
      </c>
      <c r="J1942" s="1" t="e">
        <f t="shared" si="61"/>
        <v>#N/A</v>
      </c>
      <c r="K1942" s="1">
        <f>IF(COUNTIF($I$5:I1942,I1942)=1,1,0)</f>
        <v>0</v>
      </c>
    </row>
    <row r="1943" spans="1:11" ht="14.5" customHeight="1" x14ac:dyDescent="0.2">
      <c r="A1943" s="33" t="s">
        <v>1942</v>
      </c>
      <c r="B1943" s="34"/>
      <c r="C1943" s="34"/>
      <c r="D1943" s="34"/>
      <c r="E1943" s="34"/>
      <c r="F1943" s="34"/>
      <c r="G1943" s="34"/>
      <c r="H1943" s="35"/>
      <c r="I1943" s="1" t="e">
        <f t="shared" si="60"/>
        <v>#N/A</v>
      </c>
      <c r="J1943" s="1" t="e">
        <f t="shared" si="61"/>
        <v>#N/A</v>
      </c>
      <c r="K1943" s="1">
        <f>IF(COUNTIF($I$5:I1943,I1943)=1,1,0)</f>
        <v>0</v>
      </c>
    </row>
    <row r="1944" spans="1:11" ht="14.5" customHeight="1" x14ac:dyDescent="0.2">
      <c r="A1944" s="33" t="s">
        <v>1943</v>
      </c>
      <c r="B1944" s="34"/>
      <c r="C1944" s="34"/>
      <c r="D1944" s="34"/>
      <c r="E1944" s="34"/>
      <c r="F1944" s="34"/>
      <c r="G1944" s="34"/>
      <c r="H1944" s="35"/>
      <c r="I1944" s="1" t="e">
        <f t="shared" si="60"/>
        <v>#N/A</v>
      </c>
      <c r="J1944" s="1" t="e">
        <f t="shared" si="61"/>
        <v>#N/A</v>
      </c>
      <c r="K1944" s="1">
        <f>IF(COUNTIF($I$5:I1944,I1944)=1,1,0)</f>
        <v>0</v>
      </c>
    </row>
    <row r="1945" spans="1:11" x14ac:dyDescent="0.2">
      <c r="A1945" s="14" t="s">
        <v>1944</v>
      </c>
      <c r="B1945" s="15"/>
      <c r="C1945" s="15"/>
      <c r="D1945" s="15"/>
      <c r="E1945" s="15"/>
      <c r="F1945" s="15"/>
      <c r="G1945" s="15"/>
      <c r="H1945" s="16"/>
      <c r="I1945" s="1" t="e">
        <f t="shared" si="60"/>
        <v>#N/A</v>
      </c>
      <c r="J1945" s="1" t="e">
        <f t="shared" si="61"/>
        <v>#N/A</v>
      </c>
      <c r="K1945" s="1">
        <f>IF(COUNTIF($I$5:I1945,I1945)=1,1,0)</f>
        <v>0</v>
      </c>
    </row>
  </sheetData>
  <mergeCells count="12">
    <mergeCell ref="A1945:H1945"/>
    <mergeCell ref="A1:H1"/>
    <mergeCell ref="A2:H2"/>
    <mergeCell ref="A3:A4"/>
    <mergeCell ref="D3:H3"/>
    <mergeCell ref="B3:B4"/>
    <mergeCell ref="C3:C4"/>
    <mergeCell ref="A1940:H1940"/>
    <mergeCell ref="A1941:H1941"/>
    <mergeCell ref="A1942:H1942"/>
    <mergeCell ref="A1943:H1943"/>
    <mergeCell ref="A1944:H1944"/>
  </mergeCells>
  <pageMargins left="0.25" right="0.25" top="0.75" bottom="1" header="0.5" footer="0.5"/>
  <pageSetup orientation="landscape" horizontalDpi="200" verticalDpi="200" r:id="rId1"/>
  <headerFooter alignWithMargins="0"/>
  <colBreaks count="1" manualBreakCount="1">
    <brk id="8"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D1BDA-E5F4-8347-AA87-4773A6F80F9A}">
  <dimension ref="A1:F52"/>
  <sheetViews>
    <sheetView showGridLines="0" workbookViewId="0">
      <selection activeCell="A2" sqref="A2"/>
    </sheetView>
  </sheetViews>
  <sheetFormatPr baseColWidth="10" defaultRowHeight="15" x14ac:dyDescent="0.2"/>
  <cols>
    <col min="1" max="1" width="16.83203125" bestFit="1" customWidth="1"/>
    <col min="3" max="3" width="16.83203125" bestFit="1" customWidth="1"/>
    <col min="4" max="4" width="44.1640625" bestFit="1" customWidth="1"/>
    <col min="5" max="5" width="11.1640625" bestFit="1" customWidth="1"/>
  </cols>
  <sheetData>
    <row r="1" spans="1:6" x14ac:dyDescent="0.2">
      <c r="A1" s="13" t="s">
        <v>1947</v>
      </c>
      <c r="B1" s="13" t="s">
        <v>1949</v>
      </c>
      <c r="C1" s="13" t="str" cm="1">
        <f t="array" ref="C1:D1">'SUB-IP-EST2024-ANNRNK'!I4:J4</f>
        <v>State</v>
      </c>
      <c r="D1" s="13" t="str">
        <v>City</v>
      </c>
      <c r="E1" s="13" t="s">
        <v>1950</v>
      </c>
      <c r="F1" s="36" t="s">
        <v>1951</v>
      </c>
    </row>
    <row r="2" spans="1:6" x14ac:dyDescent="0.2">
      <c r="A2" t="str" cm="1">
        <f t="array" ref="A2:A52">_xlfn._xlws.SORT(_xlfn.UNIQUE('SUB-IP-EST2024-ANNRNK'!$I$5:$I$1939))</f>
        <v xml:space="preserve"> Alabama</v>
      </c>
      <c r="B2">
        <f>COUNTIF('SUB-IP-EST2024-ANNRNK'!$I$5:$I$1939,CPI_Data!A2)</f>
        <v>33</v>
      </c>
      <c r="C2" t="str" cm="1">
        <f t="array" ref="C2:D52">_xlfn._xlws.SORT(_xlfn._xlws.FILTER('SUB-IP-EST2024-ANNRNK'!$I$5:$J$1939,'SUB-IP-EST2024-ANNRNK'!K5:K1939=1))</f>
        <v xml:space="preserve"> Alabama</v>
      </c>
      <c r="D2" t="str">
        <v>Huntsville city</v>
      </c>
      <c r="E2" s="12">
        <f>_xlfn.XLOOKUP(CPI_Data!D2,'SUB-IP-EST2024-ANNRNK'!$J$5:$J$1939,'SUB-IP-EST2024-ANNRNK'!$F$5:$F$1939,"NA")</f>
        <v>222299</v>
      </c>
      <c r="F2" t="b">
        <v>0</v>
      </c>
    </row>
    <row r="3" spans="1:6" x14ac:dyDescent="0.2">
      <c r="A3" t="str">
        <v xml:space="preserve"> Alaska</v>
      </c>
      <c r="B3">
        <f>COUNTIF('SUB-IP-EST2024-ANNRNK'!$I$5:$I$1939,CPI_Data!A3)</f>
        <v>3</v>
      </c>
      <c r="C3" t="str">
        <v xml:space="preserve"> Alaska</v>
      </c>
      <c r="D3" t="str">
        <v>Anchorage municipality</v>
      </c>
      <c r="E3" s="12">
        <f>_xlfn.XLOOKUP(CPI_Data!D3,'SUB-IP-EST2024-ANNRNK'!$J$5:$J$1939,'SUB-IP-EST2024-ANNRNK'!$F$5:$F$1939,"NA")</f>
        <v>287520</v>
      </c>
      <c r="F3" t="b">
        <v>0</v>
      </c>
    </row>
    <row r="4" spans="1:6" x14ac:dyDescent="0.2">
      <c r="A4" t="str">
        <v xml:space="preserve"> Arizona</v>
      </c>
      <c r="B4">
        <f>COUNTIF('SUB-IP-EST2024-ANNRNK'!$I$5:$I$1939,CPI_Data!A4)</f>
        <v>32</v>
      </c>
      <c r="C4" t="str">
        <v xml:space="preserve"> Arizona</v>
      </c>
      <c r="D4" t="str">
        <v>Phoenix city</v>
      </c>
      <c r="E4" s="12">
        <f>_xlfn.XLOOKUP(CPI_Data!D4,'SUB-IP-EST2024-ANNRNK'!$J$5:$J$1939,'SUB-IP-EST2024-ANNRNK'!$F$5:$F$1939,"NA")</f>
        <v>1644798</v>
      </c>
      <c r="F4" t="b">
        <v>0</v>
      </c>
    </row>
    <row r="5" spans="1:6" x14ac:dyDescent="0.2">
      <c r="A5" t="str">
        <v xml:space="preserve"> Arkansas</v>
      </c>
      <c r="B5">
        <f>COUNTIF('SUB-IP-EST2024-ANNRNK'!$I$5:$I$1939,CPI_Data!A5)</f>
        <v>25</v>
      </c>
      <c r="C5" t="str">
        <v xml:space="preserve"> Arkansas</v>
      </c>
      <c r="D5" t="str">
        <v>Little Rock city</v>
      </c>
      <c r="E5" s="12">
        <f>_xlfn.XLOOKUP(CPI_Data!D5,'SUB-IP-EST2024-ANNRNK'!$J$5:$J$1939,'SUB-IP-EST2024-ANNRNK'!$F$5:$F$1939,"NA")</f>
        <v>203416</v>
      </c>
      <c r="F5" t="b">
        <v>0</v>
      </c>
    </row>
    <row r="6" spans="1:6" x14ac:dyDescent="0.2">
      <c r="A6" t="str">
        <v xml:space="preserve"> California</v>
      </c>
      <c r="B6">
        <f>COUNTIF('SUB-IP-EST2024-ANNRNK'!$I$5:$I$1939,CPI_Data!A6)</f>
        <v>302</v>
      </c>
      <c r="C6" t="str">
        <v xml:space="preserve"> California</v>
      </c>
      <c r="D6" t="str">
        <v>Los Angeles city</v>
      </c>
      <c r="E6" s="12">
        <f>_xlfn.XLOOKUP(CPI_Data!D6,'SUB-IP-EST2024-ANNRNK'!$J$5:$J$1939,'SUB-IP-EST2024-ANNRNK'!$F$5:$F$1939,"NA")</f>
        <v>3832998</v>
      </c>
      <c r="F6" t="b">
        <v>1</v>
      </c>
    </row>
    <row r="7" spans="1:6" x14ac:dyDescent="0.2">
      <c r="A7" t="str">
        <v xml:space="preserve"> Colorado</v>
      </c>
      <c r="B7">
        <f>COUNTIF('SUB-IP-EST2024-ANNRNK'!$I$5:$I$1939,CPI_Data!A7)</f>
        <v>33</v>
      </c>
      <c r="C7" t="str">
        <v xml:space="preserve"> Colorado</v>
      </c>
      <c r="D7" t="str">
        <v>Denver city</v>
      </c>
      <c r="E7" s="12">
        <f>_xlfn.XLOOKUP(CPI_Data!D7,'SUB-IP-EST2024-ANNRNK'!$J$5:$J$1939,'SUB-IP-EST2024-ANNRNK'!$F$5:$F$1939,"NA")</f>
        <v>714851</v>
      </c>
      <c r="F7" t="b">
        <v>0</v>
      </c>
    </row>
    <row r="8" spans="1:6" x14ac:dyDescent="0.2">
      <c r="A8" t="str">
        <v xml:space="preserve"> Connecticut</v>
      </c>
      <c r="B8">
        <f>COUNTIF('SUB-IP-EST2024-ANNRNK'!$I$5:$I$1939,CPI_Data!A8)</f>
        <v>18</v>
      </c>
      <c r="C8" t="str">
        <v xml:space="preserve"> Connecticut</v>
      </c>
      <c r="D8" t="str">
        <v>Bridgeport city</v>
      </c>
      <c r="E8" s="12">
        <f>_xlfn.XLOOKUP(CPI_Data!D8,'SUB-IP-EST2024-ANNRNK'!$J$5:$J$1939,'SUB-IP-EST2024-ANNRNK'!$F$5:$F$1939,"NA")</f>
        <v>148552</v>
      </c>
      <c r="F8" t="b">
        <v>0</v>
      </c>
    </row>
    <row r="9" spans="1:6" x14ac:dyDescent="0.2">
      <c r="A9" t="str">
        <v xml:space="preserve"> Delaware</v>
      </c>
      <c r="B9">
        <f>COUNTIF('SUB-IP-EST2024-ANNRNK'!$I$5:$I$1939,CPI_Data!A9)</f>
        <v>4</v>
      </c>
      <c r="C9" t="str">
        <v xml:space="preserve"> Delaware</v>
      </c>
      <c r="D9" t="str">
        <v>Wilmington city</v>
      </c>
      <c r="E9" s="12">
        <f>_xlfn.XLOOKUP(CPI_Data!D9,'SUB-IP-EST2024-ANNRNK'!$J$5:$J$1939,'SUB-IP-EST2024-ANNRNK'!$F$5:$F$1939,"NA")</f>
        <v>121353</v>
      </c>
      <c r="F9" t="b">
        <v>0</v>
      </c>
    </row>
    <row r="10" spans="1:6" x14ac:dyDescent="0.2">
      <c r="A10" t="str">
        <v xml:space="preserve"> District of Columbia</v>
      </c>
      <c r="B10">
        <f>COUNTIF('SUB-IP-EST2024-ANNRNK'!$I$5:$I$1939,CPI_Data!A10)</f>
        <v>1</v>
      </c>
      <c r="C10" t="str">
        <v xml:space="preserve"> District of Columbia</v>
      </c>
      <c r="D10" t="str">
        <v>Washington city</v>
      </c>
      <c r="E10" s="12">
        <f>_xlfn.XLOOKUP(CPI_Data!D10,'SUB-IP-EST2024-ANNRNK'!$J$5:$J$1939,'SUB-IP-EST2024-ANNRNK'!$F$5:$F$1939,"NA")</f>
        <v>676725</v>
      </c>
      <c r="F10" t="b">
        <v>0</v>
      </c>
    </row>
    <row r="11" spans="1:6" x14ac:dyDescent="0.2">
      <c r="A11" t="str">
        <v xml:space="preserve"> Florida</v>
      </c>
      <c r="B11">
        <f>COUNTIF('SUB-IP-EST2024-ANNRNK'!$I$5:$I$1939,CPI_Data!A11)</f>
        <v>120</v>
      </c>
      <c r="C11" t="str">
        <v xml:space="preserve"> Florida</v>
      </c>
      <c r="D11" t="str">
        <v>Jacksonville city</v>
      </c>
      <c r="E11" s="12">
        <f>_xlfn.XLOOKUP(CPI_Data!D11,'SUB-IP-EST2024-ANNRNK'!$J$5:$J$1939,'SUB-IP-EST2024-ANNRNK'!$F$5:$F$1939,"NA")</f>
        <v>975614</v>
      </c>
      <c r="F11" t="b">
        <v>0</v>
      </c>
    </row>
    <row r="12" spans="1:6" x14ac:dyDescent="0.2">
      <c r="A12" t="str">
        <v xml:space="preserve"> Georgia</v>
      </c>
      <c r="B12">
        <f>COUNTIF('SUB-IP-EST2024-ANNRNK'!$I$5:$I$1939,CPI_Data!A12)</f>
        <v>59</v>
      </c>
      <c r="C12" t="str">
        <v xml:space="preserve"> Georgia</v>
      </c>
      <c r="D12" t="str">
        <v>Atlanta city</v>
      </c>
      <c r="E12" s="12">
        <f>_xlfn.XLOOKUP(CPI_Data!D12,'SUB-IP-EST2024-ANNRNK'!$J$5:$J$1939,'SUB-IP-EST2024-ANNRNK'!$F$5:$F$1939,"NA")</f>
        <v>500249</v>
      </c>
      <c r="F12" t="b">
        <v>0</v>
      </c>
    </row>
    <row r="13" spans="1:6" x14ac:dyDescent="0.2">
      <c r="A13" t="str">
        <v xml:space="preserve"> Hawaii</v>
      </c>
      <c r="B13">
        <f>COUNTIF('SUB-IP-EST2024-ANNRNK'!$I$5:$I$1939,CPI_Data!A13)</f>
        <v>1</v>
      </c>
      <c r="C13" t="str">
        <v xml:space="preserve"> Hawaii</v>
      </c>
      <c r="D13" t="str">
        <v>Urban Honolulu CDP</v>
      </c>
      <c r="E13" s="12">
        <f>_xlfn.XLOOKUP(CPI_Data!D13,'SUB-IP-EST2024-ANNRNK'!$J$5:$J$1939,'SUB-IP-EST2024-ANNRNK'!$F$5:$F$1939,"NA")</f>
        <v>343974</v>
      </c>
      <c r="F13" t="b">
        <v>0</v>
      </c>
    </row>
    <row r="14" spans="1:6" x14ac:dyDescent="0.2">
      <c r="A14" t="str">
        <v xml:space="preserve"> Idaho</v>
      </c>
      <c r="B14">
        <f>COUNTIF('SUB-IP-EST2024-ANNRNK'!$I$5:$I$1939,CPI_Data!A14)</f>
        <v>15</v>
      </c>
      <c r="C14" t="str">
        <v xml:space="preserve"> Idaho</v>
      </c>
      <c r="D14" t="str">
        <v>Boise City city</v>
      </c>
      <c r="E14" s="12">
        <f>_xlfn.XLOOKUP(CPI_Data!D14,'SUB-IP-EST2024-ANNRNK'!$J$5:$J$1939,'SUB-IP-EST2024-ANNRNK'!$F$5:$F$1939,"NA")</f>
        <v>237614</v>
      </c>
      <c r="F14" t="b">
        <v>0</v>
      </c>
    </row>
    <row r="15" spans="1:6" x14ac:dyDescent="0.2">
      <c r="A15" t="str">
        <v xml:space="preserve"> Illinois</v>
      </c>
      <c r="B15">
        <f>COUNTIF('SUB-IP-EST2024-ANNRNK'!$I$5:$I$1939,CPI_Data!A15)</f>
        <v>122</v>
      </c>
      <c r="C15" t="str">
        <v xml:space="preserve"> Illinois</v>
      </c>
      <c r="D15" t="str">
        <v>Chicago city</v>
      </c>
      <c r="E15" s="12">
        <f>_xlfn.XLOOKUP(CPI_Data!D15,'SUB-IP-EST2024-ANNRNK'!$J$5:$J$1939,'SUB-IP-EST2024-ANNRNK'!$F$5:$F$1939,"NA")</f>
        <v>2684076</v>
      </c>
      <c r="F15" t="b">
        <v>0</v>
      </c>
    </row>
    <row r="16" spans="1:6" x14ac:dyDescent="0.2">
      <c r="A16" t="str">
        <v xml:space="preserve"> Indiana</v>
      </c>
      <c r="B16">
        <f>COUNTIF('SUB-IP-EST2024-ANNRNK'!$I$5:$I$1939,CPI_Data!A16)</f>
        <v>48</v>
      </c>
      <c r="C16" t="str">
        <v xml:space="preserve"> Indiana</v>
      </c>
      <c r="D16" t="str">
        <v>Indianapolis city (balance)</v>
      </c>
      <c r="E16" s="12">
        <f>_xlfn.XLOOKUP(CPI_Data!D16,'SUB-IP-EST2024-ANNRNK'!$J$5:$J$1939,'SUB-IP-EST2024-ANNRNK'!$F$5:$F$1939,"NA")</f>
        <v>884168</v>
      </c>
      <c r="F16" t="b">
        <v>0</v>
      </c>
    </row>
    <row r="17" spans="1:6" x14ac:dyDescent="0.2">
      <c r="A17" t="str">
        <v xml:space="preserve"> Iowa</v>
      </c>
      <c r="B17">
        <f>COUNTIF('SUB-IP-EST2024-ANNRNK'!$I$5:$I$1939,CPI_Data!A17)</f>
        <v>27</v>
      </c>
      <c r="C17" t="str">
        <v xml:space="preserve"> Iowa</v>
      </c>
      <c r="D17" t="str">
        <v>Des Moines city</v>
      </c>
      <c r="E17" s="12">
        <f>_xlfn.XLOOKUP(CPI_Data!D17,'SUB-IP-EST2024-ANNRNK'!$J$5:$J$1939,'SUB-IP-EST2024-ANNRNK'!$F$5:$F$1939,"NA")</f>
        <v>210950</v>
      </c>
      <c r="F17" t="b">
        <v>0</v>
      </c>
    </row>
    <row r="18" spans="1:6" x14ac:dyDescent="0.2">
      <c r="A18" t="str">
        <v xml:space="preserve"> Kansas</v>
      </c>
      <c r="B18">
        <f>COUNTIF('SUB-IP-EST2024-ANNRNK'!$I$5:$I$1939,CPI_Data!A18)</f>
        <v>22</v>
      </c>
      <c r="C18" t="str">
        <v xml:space="preserve"> Kansas</v>
      </c>
      <c r="D18" t="str">
        <v>Wichita city</v>
      </c>
      <c r="E18" s="12">
        <f>_xlfn.XLOOKUP(CPI_Data!D18,'SUB-IP-EST2024-ANNRNK'!$J$5:$J$1939,'SUB-IP-EST2024-ANNRNK'!$F$5:$F$1939,"NA")</f>
        <v>396203</v>
      </c>
      <c r="F18" t="b">
        <v>0</v>
      </c>
    </row>
    <row r="19" spans="1:6" x14ac:dyDescent="0.2">
      <c r="A19" t="str">
        <v xml:space="preserve"> Kentucky</v>
      </c>
      <c r="B19">
        <f>COUNTIF('SUB-IP-EST2024-ANNRNK'!$I$5:$I$1939,CPI_Data!A19)</f>
        <v>19</v>
      </c>
      <c r="C19" t="str">
        <v xml:space="preserve"> Kentucky</v>
      </c>
      <c r="D19" t="str">
        <v>Louisville/Jefferson County metro government (balance)</v>
      </c>
      <c r="E19" s="12">
        <f>_xlfn.XLOOKUP(CPI_Data!D19,'SUB-IP-EST2024-ANNRNK'!$J$5:$J$1939,'SUB-IP-EST2024-ANNRNK'!$F$5:$F$1939,"NA")</f>
        <v>627172</v>
      </c>
      <c r="F19" t="b">
        <v>0</v>
      </c>
    </row>
    <row r="20" spans="1:6" x14ac:dyDescent="0.2">
      <c r="A20" t="str">
        <v xml:space="preserve"> Louisiana</v>
      </c>
      <c r="B20">
        <f>COUNTIF('SUB-IP-EST2024-ANNRNK'!$I$5:$I$1939,CPI_Data!A20)</f>
        <v>17</v>
      </c>
      <c r="C20" t="str">
        <v xml:space="preserve"> Louisiana</v>
      </c>
      <c r="D20" t="str">
        <v>New Orleans city</v>
      </c>
      <c r="E20" s="12">
        <f>_xlfn.XLOOKUP(CPI_Data!D20,'SUB-IP-EST2024-ANNRNK'!$J$5:$J$1939,'SUB-IP-EST2024-ANNRNK'!$F$5:$F$1939,"NA")</f>
        <v>370473</v>
      </c>
      <c r="F20" t="b">
        <v>0</v>
      </c>
    </row>
    <row r="21" spans="1:6" x14ac:dyDescent="0.2">
      <c r="A21" t="str">
        <v xml:space="preserve"> Maine</v>
      </c>
      <c r="B21">
        <f>COUNTIF('SUB-IP-EST2024-ANNRNK'!$I$5:$I$1939,CPI_Data!A21)</f>
        <v>9</v>
      </c>
      <c r="C21" t="str">
        <v xml:space="preserve"> Maine</v>
      </c>
      <c r="D21" t="str">
        <v>Portland city</v>
      </c>
      <c r="E21" s="12">
        <f>_xlfn.XLOOKUP(CPI_Data!D21,'SUB-IP-EST2024-ANNRNK'!$J$5:$J$1939,'SUB-IP-EST2024-ANNRNK'!$F$5:$F$1939,"NA")</f>
        <v>636093</v>
      </c>
      <c r="F21" t="b">
        <v>0</v>
      </c>
    </row>
    <row r="22" spans="1:6" x14ac:dyDescent="0.2">
      <c r="A22" t="str">
        <v xml:space="preserve"> Maryland</v>
      </c>
      <c r="B22">
        <f>COUNTIF('SUB-IP-EST2024-ANNRNK'!$I$5:$I$1939,CPI_Data!A22)</f>
        <v>13</v>
      </c>
      <c r="C22" t="str">
        <v xml:space="preserve"> Maryland</v>
      </c>
      <c r="D22" t="str">
        <v>Baltimore city</v>
      </c>
      <c r="E22" s="12">
        <f>_xlfn.XLOOKUP(CPI_Data!D22,'SUB-IP-EST2024-ANNRNK'!$J$5:$J$1939,'SUB-IP-EST2024-ANNRNK'!$F$5:$F$1939,"NA")</f>
        <v>570663</v>
      </c>
      <c r="F22" t="b">
        <v>0</v>
      </c>
    </row>
    <row r="23" spans="1:6" x14ac:dyDescent="0.2">
      <c r="A23" t="str">
        <v xml:space="preserve"> Massachusetts</v>
      </c>
      <c r="B23">
        <f>COUNTIF('SUB-IP-EST2024-ANNRNK'!$I$5:$I$1939,CPI_Data!A23)</f>
        <v>50</v>
      </c>
      <c r="C23" t="str">
        <v xml:space="preserve"> Massachusetts</v>
      </c>
      <c r="D23" t="str">
        <v>Boston city</v>
      </c>
      <c r="E23" s="12">
        <f>_xlfn.XLOOKUP(CPI_Data!D23,'SUB-IP-EST2024-ANNRNK'!$J$5:$J$1939,'SUB-IP-EST2024-ANNRNK'!$F$5:$F$1939,"NA")</f>
        <v>660080</v>
      </c>
      <c r="F23" t="b">
        <v>0</v>
      </c>
    </row>
    <row r="24" spans="1:6" x14ac:dyDescent="0.2">
      <c r="A24" t="str">
        <v xml:space="preserve"> Michigan</v>
      </c>
      <c r="B24">
        <f>COUNTIF('SUB-IP-EST2024-ANNRNK'!$I$5:$I$1939,CPI_Data!A24)</f>
        <v>55</v>
      </c>
      <c r="C24" t="str">
        <v xml:space="preserve"> Michigan</v>
      </c>
      <c r="D24" t="str">
        <v>Detroit city</v>
      </c>
      <c r="E24" s="12">
        <f>_xlfn.XLOOKUP(CPI_Data!D24,'SUB-IP-EST2024-ANNRNK'!$J$5:$J$1939,'SUB-IP-EST2024-ANNRNK'!$F$5:$F$1939,"NA")</f>
        <v>634702</v>
      </c>
      <c r="F24" t="b">
        <v>0</v>
      </c>
    </row>
    <row r="25" spans="1:6" x14ac:dyDescent="0.2">
      <c r="A25" t="str">
        <v xml:space="preserve"> Minnesota</v>
      </c>
      <c r="B25">
        <f>COUNTIF('SUB-IP-EST2024-ANNRNK'!$I$5:$I$1939,CPI_Data!A25)</f>
        <v>61</v>
      </c>
      <c r="C25" t="str">
        <v xml:space="preserve"> Minnesota</v>
      </c>
      <c r="D25" t="str">
        <v>Minneapolis city</v>
      </c>
      <c r="E25" s="12">
        <f>_xlfn.XLOOKUP(CPI_Data!D25,'SUB-IP-EST2024-ANNRNK'!$J$5:$J$1939,'SUB-IP-EST2024-ANNRNK'!$F$5:$F$1939,"NA")</f>
        <v>422613</v>
      </c>
      <c r="F25" t="b">
        <v>0</v>
      </c>
    </row>
    <row r="26" spans="1:6" x14ac:dyDescent="0.2">
      <c r="A26" t="str">
        <v xml:space="preserve"> Mississippi</v>
      </c>
      <c r="B26">
        <f>COUNTIF('SUB-IP-EST2024-ANNRNK'!$I$5:$I$1939,CPI_Data!A26)</f>
        <v>20</v>
      </c>
      <c r="C26" t="str">
        <v xml:space="preserve"> Mississippi</v>
      </c>
      <c r="D26" t="str">
        <v>Jackson city</v>
      </c>
      <c r="E26" s="12">
        <f>_xlfn.XLOOKUP(CPI_Data!D26,'SUB-IP-EST2024-ANNRNK'!$J$5:$J$1939,'SUB-IP-EST2024-ANNRNK'!$F$5:$F$1939,"NA")</f>
        <v>145782</v>
      </c>
      <c r="F26" t="b">
        <v>0</v>
      </c>
    </row>
    <row r="27" spans="1:6" x14ac:dyDescent="0.2">
      <c r="A27" t="str">
        <v xml:space="preserve"> Missouri</v>
      </c>
      <c r="B27">
        <f>COUNTIF('SUB-IP-EST2024-ANNRNK'!$I$5:$I$1939,CPI_Data!A27)</f>
        <v>36</v>
      </c>
      <c r="C27" t="str">
        <v xml:space="preserve"> Missouri</v>
      </c>
      <c r="D27" t="str">
        <v>Kansas City city</v>
      </c>
      <c r="E27" s="12">
        <f>_xlfn.XLOOKUP(CPI_Data!D27,'SUB-IP-EST2024-ANNRNK'!$J$5:$J$1939,'SUB-IP-EST2024-ANNRNK'!$F$5:$F$1939,"NA")</f>
        <v>508913</v>
      </c>
      <c r="F27" t="b">
        <v>0</v>
      </c>
    </row>
    <row r="28" spans="1:6" x14ac:dyDescent="0.2">
      <c r="A28" t="str">
        <v xml:space="preserve"> Montana</v>
      </c>
      <c r="B28">
        <f>COUNTIF('SUB-IP-EST2024-ANNRNK'!$I$5:$I$1939,CPI_Data!A28)</f>
        <v>7</v>
      </c>
      <c r="C28" t="str">
        <v xml:space="preserve"> Montana</v>
      </c>
      <c r="D28" t="str">
        <v>Billings city</v>
      </c>
      <c r="E28" s="12">
        <f>_xlfn.XLOOKUP(CPI_Data!D28,'SUB-IP-EST2024-ANNRNK'!$J$5:$J$1939,'SUB-IP-EST2024-ANNRNK'!$F$5:$F$1939,"NA")</f>
        <v>119952</v>
      </c>
      <c r="F28" t="b">
        <v>0</v>
      </c>
    </row>
    <row r="29" spans="1:6" x14ac:dyDescent="0.2">
      <c r="A29" t="str">
        <v xml:space="preserve"> Nebraska</v>
      </c>
      <c r="B29">
        <f>COUNTIF('SUB-IP-EST2024-ANNRNK'!$I$5:$I$1939,CPI_Data!A29)</f>
        <v>11</v>
      </c>
      <c r="C29" t="str">
        <v xml:space="preserve"> Nebraska</v>
      </c>
      <c r="D29" t="str">
        <v>Omaha city</v>
      </c>
      <c r="E29" s="12">
        <f>_xlfn.XLOOKUP(CPI_Data!D29,'SUB-IP-EST2024-ANNRNK'!$J$5:$J$1939,'SUB-IP-EST2024-ANNRNK'!$F$5:$F$1939,"NA")</f>
        <v>486666</v>
      </c>
      <c r="F29" t="b">
        <v>0</v>
      </c>
    </row>
    <row r="30" spans="1:6" x14ac:dyDescent="0.2">
      <c r="A30" t="str">
        <v xml:space="preserve"> Nevada</v>
      </c>
      <c r="B30">
        <f>COUNTIF('SUB-IP-EST2024-ANNRNK'!$I$5:$I$1939,CPI_Data!A30)</f>
        <v>9</v>
      </c>
      <c r="C30" t="str">
        <v xml:space="preserve"> Nevada</v>
      </c>
      <c r="D30" t="str">
        <v>Las Vegas city</v>
      </c>
      <c r="E30" s="12">
        <f>_xlfn.XLOOKUP(CPI_Data!D30,'SUB-IP-EST2024-ANNRNK'!$J$5:$J$1939,'SUB-IP-EST2024-ANNRNK'!$F$5:$F$1939,"NA")</f>
        <v>656716</v>
      </c>
      <c r="F30" t="b">
        <v>0</v>
      </c>
    </row>
    <row r="31" spans="1:6" x14ac:dyDescent="0.2">
      <c r="A31" t="str">
        <v xml:space="preserve"> New Hampshire</v>
      </c>
      <c r="B31">
        <f>COUNTIF('SUB-IP-EST2024-ANNRNK'!$I$5:$I$1939,CPI_Data!A31)</f>
        <v>7</v>
      </c>
      <c r="C31" t="str">
        <v xml:space="preserve"> New Hampshire</v>
      </c>
      <c r="D31" t="str">
        <v>Manchester city</v>
      </c>
      <c r="E31" s="12">
        <f>_xlfn.XLOOKUP(CPI_Data!D31,'SUB-IP-EST2024-ANNRNK'!$J$5:$J$1939,'SUB-IP-EST2024-ANNRNK'!$F$5:$F$1939,"NA")</f>
        <v>115454</v>
      </c>
      <c r="F31" t="b">
        <v>0</v>
      </c>
    </row>
    <row r="32" spans="1:6" x14ac:dyDescent="0.2">
      <c r="A32" t="str">
        <v xml:space="preserve"> New Jersey</v>
      </c>
      <c r="B32">
        <f>COUNTIF('SUB-IP-EST2024-ANNRNK'!$I$5:$I$1939,CPI_Data!A32)</f>
        <v>51</v>
      </c>
      <c r="C32" t="str">
        <v xml:space="preserve"> New Jersey</v>
      </c>
      <c r="D32" t="str">
        <v>Newark city</v>
      </c>
      <c r="E32" s="12">
        <f>_xlfn.XLOOKUP(CPI_Data!D32,'SUB-IP-EST2024-ANNRNK'!$J$5:$J$1939,'SUB-IP-EST2024-ANNRNK'!$F$5:$F$1939,"NA")</f>
        <v>306333</v>
      </c>
      <c r="F32" t="b">
        <v>0</v>
      </c>
    </row>
    <row r="33" spans="1:6" x14ac:dyDescent="0.2">
      <c r="A33" t="str">
        <v xml:space="preserve"> New Mexico</v>
      </c>
      <c r="B33">
        <f>COUNTIF('SUB-IP-EST2024-ANNRNK'!$I$5:$I$1939,CPI_Data!A33)</f>
        <v>11</v>
      </c>
      <c r="C33" t="str">
        <v xml:space="preserve"> New Mexico</v>
      </c>
      <c r="D33" t="str">
        <v>Albuquerque city</v>
      </c>
      <c r="E33" s="12">
        <f>_xlfn.XLOOKUP(CPI_Data!D33,'SUB-IP-EST2024-ANNRNK'!$J$5:$J$1939,'SUB-IP-EST2024-ANNRNK'!$F$5:$F$1939,"NA")</f>
        <v>561422</v>
      </c>
      <c r="F33" t="b">
        <v>0</v>
      </c>
    </row>
    <row r="34" spans="1:6" x14ac:dyDescent="0.2">
      <c r="A34" t="str">
        <v xml:space="preserve"> New York</v>
      </c>
      <c r="B34">
        <f>COUNTIF('SUB-IP-EST2024-ANNRNK'!$I$5:$I$1939,CPI_Data!A34)</f>
        <v>44</v>
      </c>
      <c r="C34" t="str">
        <v xml:space="preserve"> New York</v>
      </c>
      <c r="D34" t="str">
        <v>New York city</v>
      </c>
      <c r="E34" s="12">
        <f>_xlfn.XLOOKUP(CPI_Data!D34,'SUB-IP-EST2024-ANNRNK'!$J$5:$J$1939,'SUB-IP-EST2024-ANNRNK'!$F$5:$F$1939,"NA")</f>
        <v>8356179</v>
      </c>
      <c r="F34" t="b">
        <v>0</v>
      </c>
    </row>
    <row r="35" spans="1:6" x14ac:dyDescent="0.2">
      <c r="A35" t="str">
        <v xml:space="preserve"> North Carolina</v>
      </c>
      <c r="B35">
        <f>COUNTIF('SUB-IP-EST2024-ANNRNK'!$I$5:$I$1939,CPI_Data!A35)</f>
        <v>51</v>
      </c>
      <c r="C35" t="str">
        <v xml:space="preserve"> North Carolina</v>
      </c>
      <c r="D35" t="str">
        <v>Charlotte city</v>
      </c>
      <c r="E35" s="12">
        <f>_xlfn.XLOOKUP(CPI_Data!D35,'SUB-IP-EST2024-ANNRNK'!$J$5:$J$1939,'SUB-IP-EST2024-ANNRNK'!$F$5:$F$1939,"NA")</f>
        <v>898699</v>
      </c>
      <c r="F35" t="b">
        <v>0</v>
      </c>
    </row>
    <row r="36" spans="1:6" x14ac:dyDescent="0.2">
      <c r="A36" t="str">
        <v xml:space="preserve"> North Dakota</v>
      </c>
      <c r="B36">
        <f>COUNTIF('SUB-IP-EST2024-ANNRNK'!$I$5:$I$1939,CPI_Data!A36)</f>
        <v>8</v>
      </c>
      <c r="C36" t="str">
        <v xml:space="preserve"> North Dakota</v>
      </c>
      <c r="D36" t="str">
        <v>Fargo city</v>
      </c>
      <c r="E36" s="12">
        <f>_xlfn.XLOOKUP(CPI_Data!D36,'SUB-IP-EST2024-ANNRNK'!$J$5:$J$1939,'SUB-IP-EST2024-ANNRNK'!$F$5:$F$1939,"NA")</f>
        <v>132030</v>
      </c>
      <c r="F36" t="b">
        <v>0</v>
      </c>
    </row>
    <row r="37" spans="1:6" x14ac:dyDescent="0.2">
      <c r="A37" t="str">
        <v xml:space="preserve"> Ohio</v>
      </c>
      <c r="B37">
        <f>COUNTIF('SUB-IP-EST2024-ANNRNK'!$I$5:$I$1939,CPI_Data!A37)</f>
        <v>88</v>
      </c>
      <c r="C37" t="str">
        <v xml:space="preserve"> Ohio</v>
      </c>
      <c r="D37" t="str">
        <v>Columbus city</v>
      </c>
      <c r="E37" s="12">
        <f>_xlfn.XLOOKUP(CPI_Data!D37,'SUB-IP-EST2024-ANNRNK'!$J$5:$J$1939,'SUB-IP-EST2024-ANNRNK'!$F$5:$F$1939,"NA")</f>
        <v>911227</v>
      </c>
      <c r="F37" t="b">
        <v>0</v>
      </c>
    </row>
    <row r="38" spans="1:6" x14ac:dyDescent="0.2">
      <c r="A38" t="str">
        <v xml:space="preserve"> Oklahoma</v>
      </c>
      <c r="B38">
        <f>COUNTIF('SUB-IP-EST2024-ANNRNK'!$I$5:$I$1939,CPI_Data!A38)</f>
        <v>28</v>
      </c>
      <c r="C38" t="str">
        <v xml:space="preserve"> Oklahoma</v>
      </c>
      <c r="D38" t="str">
        <v>Oklahoma City city</v>
      </c>
      <c r="E38" s="12">
        <f>_xlfn.XLOOKUP(CPI_Data!D38,'SUB-IP-EST2024-ANNRNK'!$J$5:$J$1939,'SUB-IP-EST2024-ANNRNK'!$F$5:$F$1939,"NA")</f>
        <v>696756</v>
      </c>
      <c r="F38" t="b">
        <v>0</v>
      </c>
    </row>
    <row r="39" spans="1:6" x14ac:dyDescent="0.2">
      <c r="A39" t="str">
        <v xml:space="preserve"> Oregon</v>
      </c>
      <c r="B39">
        <f>COUNTIF('SUB-IP-EST2024-ANNRNK'!$I$5:$I$1939,CPI_Data!A39)</f>
        <v>30</v>
      </c>
      <c r="C39" t="str">
        <v xml:space="preserve"> Oregon</v>
      </c>
      <c r="D39" t="str">
        <v>Portland city</v>
      </c>
      <c r="E39" s="12">
        <f>_xlfn.XLOOKUP(CPI_Data!D39,'SUB-IP-EST2024-ANNRNK'!$J$5:$J$1939,'SUB-IP-EST2024-ANNRNK'!$F$5:$F$1939,"NA")</f>
        <v>636093</v>
      </c>
      <c r="F39" t="b">
        <v>0</v>
      </c>
    </row>
    <row r="40" spans="1:6" x14ac:dyDescent="0.2">
      <c r="A40" t="str">
        <v xml:space="preserve"> Pennsylvania</v>
      </c>
      <c r="B40">
        <f>COUNTIF('SUB-IP-EST2024-ANNRNK'!$I$5:$I$1939,CPI_Data!A40)</f>
        <v>30</v>
      </c>
      <c r="C40" t="str">
        <v xml:space="preserve"> Pennsylvania</v>
      </c>
      <c r="D40" t="str">
        <v>Philadelphia city</v>
      </c>
      <c r="E40" s="12">
        <f>_xlfn.XLOOKUP(CPI_Data!D40,'SUB-IP-EST2024-ANNRNK'!$J$5:$J$1939,'SUB-IP-EST2024-ANNRNK'!$F$5:$F$1939,"NA")</f>
        <v>1570554</v>
      </c>
      <c r="F40" t="b">
        <v>0</v>
      </c>
    </row>
    <row r="41" spans="1:6" x14ac:dyDescent="0.2">
      <c r="A41" t="str">
        <v xml:space="preserve"> Rhode Island</v>
      </c>
      <c r="B41">
        <f>COUNTIF('SUB-IP-EST2024-ANNRNK'!$I$5:$I$1939,CPI_Data!A41)</f>
        <v>8</v>
      </c>
      <c r="C41" t="str">
        <v xml:space="preserve"> Rhode Island</v>
      </c>
      <c r="D41" t="str">
        <v>Providence city</v>
      </c>
      <c r="E41" s="12">
        <f>_xlfn.XLOOKUP(CPI_Data!D41,'SUB-IP-EST2024-ANNRNK'!$J$5:$J$1939,'SUB-IP-EST2024-ANNRNK'!$F$5:$F$1939,"NA")</f>
        <v>190879</v>
      </c>
      <c r="F41" t="b">
        <v>0</v>
      </c>
    </row>
    <row r="42" spans="1:6" x14ac:dyDescent="0.2">
      <c r="A42" t="str">
        <v xml:space="preserve"> South Carolina</v>
      </c>
      <c r="B42">
        <f>COUNTIF('SUB-IP-EST2024-ANNRNK'!$I$5:$I$1939,CPI_Data!A42)</f>
        <v>27</v>
      </c>
      <c r="C42" t="str">
        <v xml:space="preserve"> South Carolina</v>
      </c>
      <c r="D42" t="str">
        <v>Charleston city</v>
      </c>
      <c r="E42" s="12">
        <f>_xlfn.XLOOKUP(CPI_Data!D42,'SUB-IP-EST2024-ANNRNK'!$J$5:$J$1939,'SUB-IP-EST2024-ANNRNK'!$F$5:$F$1939,"NA")</f>
        <v>154291</v>
      </c>
      <c r="F42" t="b">
        <v>0</v>
      </c>
    </row>
    <row r="43" spans="1:6" x14ac:dyDescent="0.2">
      <c r="A43" t="str">
        <v xml:space="preserve"> South Dakota</v>
      </c>
      <c r="B43">
        <f>COUNTIF('SUB-IP-EST2024-ANNRNK'!$I$5:$I$1939,CPI_Data!A43)</f>
        <v>5</v>
      </c>
      <c r="C43" t="str">
        <v xml:space="preserve"> South Dakota</v>
      </c>
      <c r="D43" t="str">
        <v>Sioux Falls city</v>
      </c>
      <c r="E43" s="12">
        <f>_xlfn.XLOOKUP(CPI_Data!D43,'SUB-IP-EST2024-ANNRNK'!$J$5:$J$1939,'SUB-IP-EST2024-ANNRNK'!$F$5:$F$1939,"NA")</f>
        <v>201936</v>
      </c>
      <c r="F43" t="b">
        <v>0</v>
      </c>
    </row>
    <row r="44" spans="1:6" x14ac:dyDescent="0.2">
      <c r="A44" t="str">
        <v xml:space="preserve"> Tennessee</v>
      </c>
      <c r="B44">
        <f>COUNTIF('SUB-IP-EST2024-ANNRNK'!$I$5:$I$1939,CPI_Data!A44)</f>
        <v>32</v>
      </c>
      <c r="C44" t="str">
        <v xml:space="preserve"> Tennessee</v>
      </c>
      <c r="D44" t="str">
        <v>Nashville-Davidson metropolitan government (balance)</v>
      </c>
      <c r="E44" s="12">
        <f>_xlfn.XLOOKUP(CPI_Data!D44,'SUB-IP-EST2024-ANNRNK'!$J$5:$J$1939,'SUB-IP-EST2024-ANNRNK'!$F$5:$F$1939,"NA")</f>
        <v>685903</v>
      </c>
      <c r="F44" t="b">
        <v>0</v>
      </c>
    </row>
    <row r="45" spans="1:6" x14ac:dyDescent="0.2">
      <c r="A45" t="str">
        <v xml:space="preserve"> Texas</v>
      </c>
      <c r="B45">
        <f>COUNTIF('SUB-IP-EST2024-ANNRNK'!$I$5:$I$1939,CPI_Data!A45)</f>
        <v>155</v>
      </c>
      <c r="C45" t="str">
        <v xml:space="preserve"> Texas</v>
      </c>
      <c r="D45" t="str">
        <v>Houston city</v>
      </c>
      <c r="E45" s="12">
        <f>_xlfn.XLOOKUP(CPI_Data!D45,'SUB-IP-EST2024-ANNRNK'!$J$5:$J$1939,'SUB-IP-EST2024-ANNRNK'!$F$5:$F$1939,"NA")</f>
        <v>2314258</v>
      </c>
      <c r="F45" t="b">
        <v>0</v>
      </c>
    </row>
    <row r="46" spans="1:6" x14ac:dyDescent="0.2">
      <c r="A46" t="str">
        <v xml:space="preserve"> Utah</v>
      </c>
      <c r="B46">
        <f>COUNTIF('SUB-IP-EST2024-ANNRNK'!$I$5:$I$1939,CPI_Data!A46)</f>
        <v>47</v>
      </c>
      <c r="C46" t="str">
        <v xml:space="preserve"> Utah</v>
      </c>
      <c r="D46" t="str">
        <v>Salt Lake City city</v>
      </c>
      <c r="E46" s="12">
        <f>_xlfn.XLOOKUP(CPI_Data!D46,'SUB-IP-EST2024-ANNRNK'!$J$5:$J$1939,'SUB-IP-EST2024-ANNRNK'!$F$5:$F$1939,"NA")</f>
        <v>208579</v>
      </c>
      <c r="F46" t="b">
        <v>0</v>
      </c>
    </row>
    <row r="47" spans="1:6" x14ac:dyDescent="0.2">
      <c r="A47" t="str">
        <v xml:space="preserve"> Vermont</v>
      </c>
      <c r="B47">
        <f>COUNTIF('SUB-IP-EST2024-ANNRNK'!$I$5:$I$1939,CPI_Data!A47)</f>
        <v>2</v>
      </c>
      <c r="C47" t="str">
        <v xml:space="preserve"> Vermont</v>
      </c>
      <c r="D47" t="str">
        <v>Burlington city</v>
      </c>
      <c r="E47" s="12">
        <f>_xlfn.XLOOKUP(CPI_Data!D47,'SUB-IP-EST2024-ANNRNK'!$J$5:$J$1939,'SUB-IP-EST2024-ANNRNK'!$F$5:$F$1939,"NA")</f>
        <v>59580</v>
      </c>
      <c r="F47" t="b">
        <v>0</v>
      </c>
    </row>
    <row r="48" spans="1:6" x14ac:dyDescent="0.2">
      <c r="A48" t="str">
        <v xml:space="preserve"> Virginia</v>
      </c>
      <c r="B48">
        <f>COUNTIF('SUB-IP-EST2024-ANNRNK'!$I$5:$I$1939,CPI_Data!A48)</f>
        <v>28</v>
      </c>
      <c r="C48" t="str">
        <v xml:space="preserve"> Virginia</v>
      </c>
      <c r="D48" t="str">
        <v>Virginia Beach city</v>
      </c>
      <c r="E48" s="12">
        <f>_xlfn.XLOOKUP(CPI_Data!D48,'SUB-IP-EST2024-ANNRNK'!$J$5:$J$1939,'SUB-IP-EST2024-ANNRNK'!$F$5:$F$1939,"NA")</f>
        <v>454886</v>
      </c>
      <c r="F48" t="b">
        <v>0</v>
      </c>
    </row>
    <row r="49" spans="1:6" x14ac:dyDescent="0.2">
      <c r="A49" t="str">
        <v xml:space="preserve"> Washington</v>
      </c>
      <c r="B49">
        <f>COUNTIF('SUB-IP-EST2024-ANNRNK'!$I$5:$I$1939,CPI_Data!A49)</f>
        <v>59</v>
      </c>
      <c r="C49" t="str">
        <v xml:space="preserve"> Washington</v>
      </c>
      <c r="D49" t="str">
        <v>Seattle city</v>
      </c>
      <c r="E49" s="12">
        <f>_xlfn.XLOOKUP(CPI_Data!D49,'SUB-IP-EST2024-ANNRNK'!$J$5:$J$1939,'SUB-IP-EST2024-ANNRNK'!$F$5:$F$1939,"NA")</f>
        <v>751454</v>
      </c>
      <c r="F49" t="b">
        <v>0</v>
      </c>
    </row>
    <row r="50" spans="1:6" x14ac:dyDescent="0.2">
      <c r="A50" t="str">
        <v xml:space="preserve"> West Virginia</v>
      </c>
      <c r="B50">
        <f>COUNTIF('SUB-IP-EST2024-ANNRNK'!$I$5:$I$1939,CPI_Data!A50)</f>
        <v>5</v>
      </c>
      <c r="C50" t="str">
        <v xml:space="preserve"> West Virginia</v>
      </c>
      <c r="D50" t="str">
        <v>Charleston city</v>
      </c>
      <c r="E50" s="12">
        <f>_xlfn.XLOOKUP(CPI_Data!D50,'SUB-IP-EST2024-ANNRNK'!$J$5:$J$1939,'SUB-IP-EST2024-ANNRNK'!$F$5:$F$1939,"NA")</f>
        <v>154291</v>
      </c>
      <c r="F50" t="b">
        <v>0</v>
      </c>
    </row>
    <row r="51" spans="1:6" x14ac:dyDescent="0.2">
      <c r="A51" t="str">
        <v xml:space="preserve"> Wisconsin</v>
      </c>
      <c r="B51">
        <f>COUNTIF('SUB-IP-EST2024-ANNRNK'!$I$5:$I$1939,CPI_Data!A51)</f>
        <v>42</v>
      </c>
      <c r="C51" t="str">
        <v xml:space="preserve"> Wisconsin</v>
      </c>
      <c r="D51" t="str">
        <v>Milwaukee city</v>
      </c>
      <c r="E51" s="12">
        <f>_xlfn.XLOOKUP(CPI_Data!D51,'SUB-IP-EST2024-ANNRNK'!$J$5:$J$1939,'SUB-IP-EST2024-ANNRNK'!$F$5:$F$1939,"NA")</f>
        <v>564614</v>
      </c>
      <c r="F51" t="b">
        <v>0</v>
      </c>
    </row>
    <row r="52" spans="1:6" x14ac:dyDescent="0.2">
      <c r="A52" t="str">
        <v xml:space="preserve"> Wyoming</v>
      </c>
      <c r="B52">
        <f>COUNTIF('SUB-IP-EST2024-ANNRNK'!$I$5:$I$1939,CPI_Data!A52)</f>
        <v>5</v>
      </c>
      <c r="C52" t="str">
        <v xml:space="preserve"> Wyoming</v>
      </c>
      <c r="D52" t="str">
        <v>Cheyenne city</v>
      </c>
      <c r="E52" s="12">
        <f>_xlfn.XLOOKUP(CPI_Data!D52,'SUB-IP-EST2024-ANNRNK'!$J$5:$J$1939,'SUB-IP-EST2024-ANNRNK'!$F$5:$F$1939,"NA")</f>
        <v>64668</v>
      </c>
      <c r="F52"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7EF25-31E7-5F4B-A775-2495ACE0F9AA}">
  <dimension ref="A1:D12"/>
  <sheetViews>
    <sheetView showGridLines="0" tabSelected="1" workbookViewId="0">
      <selection activeCell="D18" sqref="D18"/>
    </sheetView>
  </sheetViews>
  <sheetFormatPr baseColWidth="10" defaultRowHeight="15" x14ac:dyDescent="0.2"/>
  <sheetData>
    <row r="1" spans="1:4" x14ac:dyDescent="0.2">
      <c r="A1" t="s">
        <v>1965</v>
      </c>
      <c r="B1" s="13" t="s">
        <v>1953</v>
      </c>
      <c r="C1" s="13" t="s">
        <v>1947</v>
      </c>
      <c r="D1" s="13" t="s">
        <v>1954</v>
      </c>
    </row>
    <row r="2" spans="1:4" x14ac:dyDescent="0.2">
      <c r="A2">
        <v>1</v>
      </c>
      <c r="B2" t="s">
        <v>1952</v>
      </c>
      <c r="C2" t="str">
        <f>'SUB-IP-EST2024-ANNRNK'!I9</f>
        <v xml:space="preserve"> Arizona</v>
      </c>
      <c r="D2" t="str">
        <f>_xlfn.XLOOKUP(C2,CPI_Data!$C$2:$C$52,CPI_Data!$D$2:$D$52)</f>
        <v>Phoenix city</v>
      </c>
    </row>
    <row r="3" spans="1:4" x14ac:dyDescent="0.2">
      <c r="A3">
        <v>2</v>
      </c>
      <c r="B3" t="s">
        <v>1955</v>
      </c>
      <c r="C3" t="str">
        <f>'SUB-IP-EST2024-ANNRNK'!I12</f>
        <v xml:space="preserve"> California</v>
      </c>
      <c r="D3" t="str">
        <f>_xlfn.XLOOKUP(C3,CPI_Data!$C$2:$C$52,CPI_Data!$D$2:$D$52)</f>
        <v>Los Angeles city</v>
      </c>
    </row>
    <row r="4" spans="1:4" x14ac:dyDescent="0.2">
      <c r="A4">
        <v>3</v>
      </c>
      <c r="B4" t="s">
        <v>1956</v>
      </c>
      <c r="C4" t="str">
        <f>'SUB-IP-EST2024-ANNRNK'!I14</f>
        <v xml:space="preserve"> Florida</v>
      </c>
      <c r="D4" t="str">
        <f>_xlfn.XLOOKUP(C4,CPI_Data!$C$2:$C$52,CPI_Data!$D$2:$D$52)</f>
        <v>Jacksonville city</v>
      </c>
    </row>
    <row r="5" spans="1:4" x14ac:dyDescent="0.2">
      <c r="A5">
        <v>4</v>
      </c>
      <c r="B5" t="s">
        <v>1957</v>
      </c>
      <c r="C5" t="str">
        <f>'SUB-IP-EST2024-ANNRNK'!I7</f>
        <v xml:space="preserve"> Illinois</v>
      </c>
      <c r="D5" t="str">
        <f>_xlfn.XLOOKUP(C5,CPI_Data!$C$2:$C$52,CPI_Data!$D$2:$D$52)</f>
        <v>Chicago city</v>
      </c>
    </row>
    <row r="6" spans="1:4" x14ac:dyDescent="0.2">
      <c r="A6">
        <v>5</v>
      </c>
      <c r="B6" t="s">
        <v>1958</v>
      </c>
      <c r="C6" t="str">
        <f>'SUB-IP-EST2024-ANNRNK'!I30</f>
        <v xml:space="preserve"> Michigan</v>
      </c>
      <c r="D6" t="str">
        <f>_xlfn.XLOOKUP(C6,CPI_Data!$C$2:$C$52,CPI_Data!$D$2:$D$52)</f>
        <v>Detroit city</v>
      </c>
    </row>
    <row r="7" spans="1:4" x14ac:dyDescent="0.2">
      <c r="A7">
        <v>6</v>
      </c>
      <c r="B7" t="s">
        <v>1959</v>
      </c>
      <c r="C7" t="str">
        <f>'SUB-IP-EST2024-ANNRNK'!I68</f>
        <v xml:space="preserve"> New Jersey</v>
      </c>
      <c r="D7" t="str">
        <f>_xlfn.XLOOKUP(C7,CPI_Data!$C$2:$C$52,CPI_Data!$D$2:$D$52)</f>
        <v>Newark city</v>
      </c>
    </row>
    <row r="8" spans="1:4" x14ac:dyDescent="0.2">
      <c r="A8">
        <v>7</v>
      </c>
      <c r="B8" t="s">
        <v>1960</v>
      </c>
      <c r="C8" t="str">
        <f>'SUB-IP-EST2024-ANNRNK'!I28</f>
        <v xml:space="preserve"> Nevada</v>
      </c>
      <c r="D8" t="str">
        <f>_xlfn.XLOOKUP(C8,CPI_Data!$C$2:$C$52,CPI_Data!$D$2:$D$52)</f>
        <v>Las Vegas city</v>
      </c>
    </row>
    <row r="9" spans="1:4" x14ac:dyDescent="0.2">
      <c r="A9">
        <v>8</v>
      </c>
      <c r="B9" t="s">
        <v>1961</v>
      </c>
      <c r="C9" t="str">
        <f>'SUB-IP-EST2024-ANNRNK'!I5</f>
        <v xml:space="preserve"> New York</v>
      </c>
      <c r="D9" t="str">
        <f>_xlfn.XLOOKUP(C9,CPI_Data!$C$2:$C$52,CPI_Data!$D$2:$D$52)</f>
        <v>New York city</v>
      </c>
    </row>
    <row r="10" spans="1:4" x14ac:dyDescent="0.2">
      <c r="A10">
        <v>9</v>
      </c>
      <c r="B10" t="s">
        <v>1962</v>
      </c>
      <c r="C10" t="str">
        <f>'SUB-IP-EST2024-ANNRNK'!I19</f>
        <v xml:space="preserve"> Ohio</v>
      </c>
      <c r="D10" t="str">
        <f>_xlfn.XLOOKUP(C10,CPI_Data!$C$2:$C$52,CPI_Data!$D$2:$D$52)</f>
        <v>Columbus city</v>
      </c>
    </row>
    <row r="11" spans="1:4" x14ac:dyDescent="0.2">
      <c r="A11">
        <v>10</v>
      </c>
      <c r="B11" t="s">
        <v>1963</v>
      </c>
      <c r="C11" t="str">
        <f>'SUB-IP-EST2024-ANNRNK'!I10</f>
        <v xml:space="preserve"> Pennsylvania</v>
      </c>
      <c r="D11" t="str">
        <f>_xlfn.XLOOKUP(C11,CPI_Data!$C$2:$C$52,CPI_Data!$D$2:$D$52)</f>
        <v>Philadelphia city</v>
      </c>
    </row>
    <row r="12" spans="1:4" x14ac:dyDescent="0.2">
      <c r="A12">
        <v>11</v>
      </c>
      <c r="B12" t="s">
        <v>1964</v>
      </c>
      <c r="C12" t="str">
        <f>'SUB-IP-EST2024-ANNRNK'!I8</f>
        <v xml:space="preserve"> Texas</v>
      </c>
      <c r="D12" t="str">
        <f>_xlfn.XLOOKUP(C12,CPI_Data!$C$2:$C$52,CPI_Data!$D$2:$D$52)</f>
        <v>Houston city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SUB-IP-EST2024-ANNRNK</vt:lpstr>
      <vt:lpstr>CPI_Data</vt:lpstr>
      <vt:lpstr>myStates</vt:lpstr>
      <vt:lpstr>'SUB-IP-EST2024-ANNRNK'!Print_Area</vt:lpstr>
      <vt:lpstr>'SUB-IP-EST2024-ANNRNK'!Print_Titles</vt:lpstr>
      <vt:lpstr>sub_annrnk</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Christopher Taratko</cp:lastModifiedBy>
  <dcterms:created xsi:type="dcterms:W3CDTF">2025-04-02T20:53:08Z</dcterms:created>
  <dcterms:modified xsi:type="dcterms:W3CDTF">2026-03-30T16:07:34Z</dcterms:modified>
</cp:coreProperties>
</file>